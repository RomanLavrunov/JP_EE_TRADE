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" sheetId="1" state="visible" r:id="rId3"/>
    <sheet name="IM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<sst xmlns="http://schemas.openxmlformats.org/spreadsheetml/2006/main" count="1928" uniqueCount="361">
  <si>
    <t xml:space="preserve">EXPORT (Estonia→Japan) | 2012–2018 vs 2019–2025 | Score=(Share_FTA+Share_Δ)÷2 | B≥1M OR score 80–95% | v21</t>
  </si>
  <si>
    <t xml:space="preserve">COMPOSITE SCORE = avg(share_FTA, share_Δ). share_FTA = FTA_mean ÷ C3. share_Δ = abs_change ÷ D4. Group A: cumul score ≤80%. Group B: score 80–95% OR abs_change ≥ 1,000,000 EUR. Spike: YoY 2018→19 ≥2x AND k≤1 AND FTA_mean ≥ 1,000,000 EUR. Tariffs = midpoint of chapter range. 0% both sides confirmed: CN49,CN97,CN98,CN99.</t>
  </si>
  <si>
    <t xml:space="preserve">C3  —  TOTAL FTA_mean (all CN groups):</t>
  </si>
  <si>
    <t xml:space="preserve">  Denominator for Share_FTA = FTA_mean ÷ C3  (share of ALL trade)</t>
  </si>
  <si>
    <t xml:space="preserve">D4  —  TOTAL abs_change (growing groups k&gt;1 only):</t>
  </si>
  <si>
    <t xml:space="preserve">  Denominator for Share_Δ = abs_change ÷ D4  (share of growing trade increment)</t>
  </si>
  <si>
    <t xml:space="preserve">PRE-FTA  2012–2018</t>
  </si>
  <si>
    <t xml:space="preserve">EPA PERIOD  2019–2025</t>
  </si>
  <si>
    <t xml:space="preserve">2023</t>
  </si>
  <si>
    <t xml:space="preserve">VOLUME, SHARES &amp; COMPOSITE SCORE</t>
  </si>
  <si>
    <t xml:space="preserve">CAGR — total vs EPA</t>
  </si>
  <si>
    <t xml:space="preserve">SLOPE (info)</t>
  </si>
  <si>
    <t xml:space="preserve">ACTIVATION &amp; SUSTAINABILITY</t>
  </si>
  <si>
    <t xml:space="preserve">JP TARIFF (on EE exports)</t>
  </si>
  <si>
    <t xml:space="preserve">Pre mean
(EUR)</t>
  </si>
  <si>
    <t xml:space="preserve">FTA mean
(EUR)</t>
  </si>
  <si>
    <t xml:space="preserve">ABS CHANGE
=FTA−Pre
(EUR)</t>
  </si>
  <si>
    <t xml:space="preserve">k ratio</t>
  </si>
  <si>
    <t xml:space="preserve">Share FTA
=FTA_mean
÷ C3</t>
  </si>
  <si>
    <t xml:space="preserve">Share Δ
=abs_change
÷ D4</t>
  </si>
  <si>
    <t xml:space="preserve">SCORE
=(Sh_FTA
+Sh_Δ)÷2</t>
  </si>
  <si>
    <t xml:space="preserve">Cumul
score</t>
  </si>
  <si>
    <t xml:space="preserve">CAGR total
1/13</t>
  </si>
  <si>
    <t xml:space="preserve">CAGR fta
1/6</t>
  </si>
  <si>
    <t xml:space="preserve">EPA accel
=fta−total</t>
  </si>
  <si>
    <t xml:space="preserve">Slope total
(info)</t>
  </si>
  <si>
    <t xml:space="preserve">Slope FTA
(info)</t>
  </si>
  <si>
    <t xml:space="preserve">YoY
2018→2019</t>
  </si>
  <si>
    <t xml:space="preserve">YoY
2017→2019</t>
  </si>
  <si>
    <t xml:space="preserve">Post-2022
vs FTA</t>
  </si>
  <si>
    <t xml:space="preserve">Tariff range → 0% (avg)</t>
  </si>
  <si>
    <t xml:space="preserve">Avg
tariff</t>
  </si>
  <si>
    <t xml:space="preserve">Cut
(pp)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</si>
  <si>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</si>
  <si>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</si>
  <si>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</si>
  <si>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</si>
  <si>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</si>
  <si>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</si>
  <si>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</si>
  <si>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</si>
  <si>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</si>
  <si>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</si>
  <si>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</si>
  <si>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2024</t>
  </si>
  <si>
    <t xml:space="preserve">2025</t>
  </si>
  <si>
    <t xml:space="preserve">← Excel column letters →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</si>
  <si>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</si>
  <si>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</si>
  <si>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</si>
  <si>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</si>
  <si>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</si>
  <si>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</si>
  <si>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</si>
  <si>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</si>
  <si>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</si>
  <si>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</si>
  <si>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</si>
  <si>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</si>
  <si>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</si>
  <si>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</si>
  <si>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</si>
  <si>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</si>
  <si>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</si>
  <si>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</si>
  <si>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</si>
  <si>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</si>
  <si>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W</t>
  </si>
  <si>
    <t xml:space="preserve">X</t>
  </si>
  <si>
    <t xml:space="preserve">Y</t>
  </si>
  <si>
    <t xml:space="preserve">Z</t>
  </si>
  <si>
    <t xml:space="preserve">AA</t>
  </si>
  <si>
    <t xml:space="preserve">AB</t>
  </si>
  <si>
    <t xml:space="preserve">AC</t>
  </si>
  <si>
    <t xml:space="preserve">AD</t>
  </si>
  <si>
    <t xml:space="preserve">AE</t>
  </si>
  <si>
    <t xml:space="preserve">AF</t>
  </si>
  <si>
    <t xml:space="preserve">AG</t>
  </si>
  <si>
    <t xml:space="preserve">AH</t>
  </si>
  <si>
    <t xml:space="preserve">AI</t>
  </si>
  <si>
    <t xml:space="preserve">AJ</t>
  </si>
  <si>
    <t xml:space="preserve">  🟢 GROUP A — Core EPA growth  |  Cumulative composite score ≤ 80%  (4 groups)</t>
  </si>
  <si>
    <t xml:space="preserve">  Top groups by composite score = avg(share_FTA, share_Δ). Covers ~80% of cumulative score among growing groups.</t>
  </si>
  <si>
    <t xml:space="preserve">CN44</t>
  </si>
  <si>
    <t xml:space="preserve">WOOD AND ARTICLES OF WOOD; WOOD CHARCOAL</t>
  </si>
  <si>
    <t xml:space="preserve">0–8.0% → 0%  (avg ~4.0%)</t>
  </si>
  <si>
    <t xml:space="preserve">~4.0%</t>
  </si>
  <si>
    <t xml:space="preserve">CN71</t>
  </si>
  <si>
    <t xml:space="preserve">NATURAL OR CULTURED PEARLS, PRECIOUS OR SEMI-PRECIOUS STONES, </t>
  </si>
  <si>
    <t xml:space="preserve">—</t>
  </si>
  <si>
    <t xml:space="preserve">0–5.0% → 0%  (avg ~2.5%)</t>
  </si>
  <si>
    <t xml:space="preserve">~2.5%</t>
  </si>
  <si>
    <t xml:space="preserve">CN85</t>
  </si>
  <si>
    <t xml:space="preserve">ELECTRICAL MACHINERY AND EQUIPMENT AND PARTS THEREOF; SOUND RE</t>
  </si>
  <si>
    <t xml:space="preserve">CN08</t>
  </si>
  <si>
    <t xml:space="preserve">EDIBLE FRUIT AND NUTS; PEEL OF CITRUS FRUIT OR MELONS</t>
  </si>
  <si>
    <t xml:space="preserve">0–243.0% → 0%  (avg ~121.5%)</t>
  </si>
  <si>
    <t xml:space="preserve">~121.5%</t>
  </si>
  <si>
    <t xml:space="preserve">  🔵 GROUP B — Secondary growth  |  Score 80–95%  OR  abs_change ≥ 1,000,000 EUR  (6 groups)</t>
  </si>
  <si>
    <t xml:space="preserve">  Next tier by score (80–95%), plus any growing group with absolute change ≥ 1M EUR regardless of score position.</t>
  </si>
  <si>
    <t xml:space="preserve">CN84</t>
  </si>
  <si>
    <t xml:space="preserve">NUCLEAR REACTORS, BOILERS, MACHINERY AND MECHANICAL APPLIANCES</t>
  </si>
  <si>
    <t xml:space="preserve">CN28</t>
  </si>
  <si>
    <t xml:space="preserve">INORGANIC CHEMICALS; ORGANIC OR INORGANIC COMPOUNDS OF PRECIOU</t>
  </si>
  <si>
    <t xml:space="preserve">0–6.5% → 0%  (avg ~3.2%)</t>
  </si>
  <si>
    <t xml:space="preserve">~3.2%</t>
  </si>
  <si>
    <t xml:space="preserve">CN90</t>
  </si>
  <si>
    <t xml:space="preserve">OPTICAL, PHOTOGRAPHIC, CINEMATOGRAPHIC, MEASURING, CHECKING, P</t>
  </si>
  <si>
    <t xml:space="preserve">CN94</t>
  </si>
  <si>
    <t xml:space="preserve">FURNITURE; BEDDING, MATTRESSES, MATTRESS SUPPORTS, CUSHIONS AN</t>
  </si>
  <si>
    <t xml:space="preserve">CN72</t>
  </si>
  <si>
    <t xml:space="preserve">IRON AND STEEL</t>
  </si>
  <si>
    <t xml:space="preserve">0–7.0% → 0%  (avg ~3.5%)</t>
  </si>
  <si>
    <t xml:space="preserve">~3.5%</t>
  </si>
  <si>
    <t xml:space="preserve">CN87</t>
  </si>
  <si>
    <t xml:space="preserve">VEHICLES OTHER THAN RAILWAY OR TRAMWAY ROLLING STOCK, AND PART</t>
  </si>
  <si>
    <t xml:space="preserve">0% all subheadings</t>
  </si>
  <si>
    <t xml:space="preserve">0%</t>
  </si>
  <si>
    <t xml:space="preserve">  ⚡ SPIKES — Short-term activation  |  YoY 2018→19 ≥ 2x  |  k ≤ 1  |  FTA mean ≥ 1,000,000 EUR  (1 groups)</t>
  </si>
  <si>
    <t xml:space="preserve">  Strong immediate reaction to EPA in 2019 but average FTA-period level did not exceed pre-EPA baseline. EPA was noticed — no lasting structural change.</t>
  </si>
  <si>
    <t xml:space="preserve">CN81</t>
  </si>
  <si>
    <t xml:space="preserve">OTHER BASE METALS; CERMETS; ARTICLES THEREOF</t>
  </si>
  <si>
    <t xml:space="preserve">  📉 NEGATIVE / FLAT  |  k ≤ 1, no spike signal  (32 groups)</t>
  </si>
  <si>
    <t xml:space="preserve">  Trade declined or stayed flat. No EPA activation detected. Shown for completeness.</t>
  </si>
  <si>
    <t xml:space="preserve">CN04</t>
  </si>
  <si>
    <t xml:space="preserve">DAIRY PRODUCE; BIRDS' EGGS; NATURAL HONEY; EDIBLE PRODUCTS OF </t>
  </si>
  <si>
    <t xml:space="preserve">0–400.0% → 0%  (avg ~200.0%)</t>
  </si>
  <si>
    <t xml:space="preserve">~200.0%</t>
  </si>
  <si>
    <t xml:space="preserve">CN27</t>
  </si>
  <si>
    <t xml:space="preserve">MINERAL FUELS, MINERAL OILS AND PRODUCTS OF THEIR DISTILLATION</t>
  </si>
  <si>
    <t xml:space="preserve">CN03</t>
  </si>
  <si>
    <t xml:space="preserve">FISH AND CRUSTACEANS, MOLLUSCS AND OTHER AQUATIC INVERTEBRATES</t>
  </si>
  <si>
    <t xml:space="preserve">0–15.0% → 0%  (avg ~7.5%)</t>
  </si>
  <si>
    <t xml:space="preserve">~7.5%</t>
  </si>
  <si>
    <t xml:space="preserve">CN32</t>
  </si>
  <si>
    <t xml:space="preserve">TANNING OR DYEING EXTRACTS; TANNINS AND THEIR DERIVATIVES; DYE</t>
  </si>
  <si>
    <t xml:space="preserve">0–10.0% → 0%  (avg ~5.0%)</t>
  </si>
  <si>
    <t xml:space="preserve">~5.0%</t>
  </si>
  <si>
    <t xml:space="preserve">CN73</t>
  </si>
  <si>
    <t xml:space="preserve">ARTICLES OF IRON OR STEEL</t>
  </si>
  <si>
    <t xml:space="preserve">CN76</t>
  </si>
  <si>
    <t xml:space="preserve">ALUMINIUM AND ARTICLES THEREOF</t>
  </si>
  <si>
    <t xml:space="preserve">CN38</t>
  </si>
  <si>
    <t xml:space="preserve">MISCELLANEOUS CHEMICAL PRODUCTS</t>
  </si>
  <si>
    <t xml:space="preserve">0–6.0% → 0%  (avg ~3.0%)</t>
  </si>
  <si>
    <t xml:space="preserve">~3.0%</t>
  </si>
  <si>
    <t xml:space="preserve">CN61</t>
  </si>
  <si>
    <t xml:space="preserve">ARTICLES OF APPAREL AND CLOTHING ACCESSORIES, KNITTED OR CROCH</t>
  </si>
  <si>
    <t xml:space="preserve">0–12.0% → 0%  (avg ~6.0%)</t>
  </si>
  <si>
    <t xml:space="preserve">~6.0%</t>
  </si>
  <si>
    <t xml:space="preserve">CN22</t>
  </si>
  <si>
    <t xml:space="preserve">BEVERAGES, SPIRITS AND VINEGAR</t>
  </si>
  <si>
    <t xml:space="preserve">0–50.0% → 0%  (avg ~25.0%)</t>
  </si>
  <si>
    <t xml:space="preserve">~25.0%</t>
  </si>
  <si>
    <t xml:space="preserve">CN19</t>
  </si>
  <si>
    <t xml:space="preserve">PREPARATIONS OF CEREALS, FLOUR, STARCH OR MILK; PASTRYCOOKS' P</t>
  </si>
  <si>
    <t xml:space="preserve">CN39</t>
  </si>
  <si>
    <t xml:space="preserve">PLASTICS AND ARTICLES THEREOF</t>
  </si>
  <si>
    <t xml:space="preserve">CN92</t>
  </si>
  <si>
    <t xml:space="preserve">MUSICAL INSTRUMENTS; PARTS AND ACCESSORIES OF SUCH ARTICLES</t>
  </si>
  <si>
    <t xml:space="preserve">CN49</t>
  </si>
  <si>
    <t xml:space="preserve">PRINTED BOOKS, NEWSPAPERS, PICTURES AND OTHER PRODUCTS OF THE </t>
  </si>
  <si>
    <t xml:space="preserve">0% confirmed both sides</t>
  </si>
  <si>
    <t xml:space="preserve">CN57</t>
  </si>
  <si>
    <t xml:space="preserve">CARPETS AND OTHER TEXTILE FLOOR COVERINGS</t>
  </si>
  <si>
    <t xml:space="preserve">CN88</t>
  </si>
  <si>
    <t xml:space="preserve">AIRCRAFT, SPACECRAFT, AND PARTS THEREOF</t>
  </si>
  <si>
    <t xml:space="preserve">n/a</t>
  </si>
  <si>
    <t xml:space="preserve">0–3.0% → 0%  (avg ~1.5%)</t>
  </si>
  <si>
    <t xml:space="preserve">~1.5%</t>
  </si>
  <si>
    <t xml:space="preserve">CN07</t>
  </si>
  <si>
    <t xml:space="preserve">EDIBLE VEGETABLES AND CERTAIN ROOTS AND TUBERS</t>
  </si>
  <si>
    <t xml:space="preserve">0–30.0% → 0%  (avg ~15.0%)</t>
  </si>
  <si>
    <t xml:space="preserve">~15.0%</t>
  </si>
  <si>
    <t xml:space="preserve">CN47</t>
  </si>
  <si>
    <t xml:space="preserve">PULP OF WOOD OR OF OTHER FIBROUS CELLULOSIC MATERIAL; RECOVERE</t>
  </si>
  <si>
    <t xml:space="preserve">CN10</t>
  </si>
  <si>
    <t xml:space="preserve">CEREALS</t>
  </si>
  <si>
    <t xml:space="preserve">0–778.0% → 0%  (avg ~389.0%)</t>
  </si>
  <si>
    <t xml:space="preserve">~389.0%</t>
  </si>
  <si>
    <t xml:space="preserve">CN48</t>
  </si>
  <si>
    <t xml:space="preserve">PAPER AND PAPERBOARD; ARTICLES OF PAPER PULP, OF PAPER OR OF P</t>
  </si>
  <si>
    <t xml:space="preserve">CN65</t>
  </si>
  <si>
    <t xml:space="preserve">HEADGEAR AND PARTS THEREOF</t>
  </si>
  <si>
    <t xml:space="preserve">CN11</t>
  </si>
  <si>
    <t xml:space="preserve">PRODUCTS OF THE MILLING INDUSTRY; MALT; STARCHES; INULIN; WHEA</t>
  </si>
  <si>
    <t xml:space="preserve">CN51</t>
  </si>
  <si>
    <t xml:space="preserve">WOOL, FINE OR COARSE ANIMAL HAIR; HORSEHAIR YARN AND WOVEN FAB</t>
  </si>
  <si>
    <t xml:space="preserve">CN43</t>
  </si>
  <si>
    <t xml:space="preserve">FURSKINS AND ARTIFICIAL FUR; MANUFACTURES THEREOF</t>
  </si>
  <si>
    <t xml:space="preserve">0–20.0% → 0%  (avg ~10.0%)</t>
  </si>
  <si>
    <t xml:space="preserve">~10.0%</t>
  </si>
  <si>
    <t xml:space="preserve">CN53</t>
  </si>
  <si>
    <t xml:space="preserve">OTHER VEGETABLE TEXTILE FIBRES; PAPER YARN AND WOVEN FABRICS O</t>
  </si>
  <si>
    <t xml:space="preserve">CN30</t>
  </si>
  <si>
    <t xml:space="preserve">PHARMACEUTICAL PRODUCTS</t>
  </si>
  <si>
    <t xml:space="preserve">CN01</t>
  </si>
  <si>
    <t xml:space="preserve">LIVE ANIMALS</t>
  </si>
  <si>
    <t xml:space="preserve">0–38.5% → 0%  (avg ~19.2%)</t>
  </si>
  <si>
    <t xml:space="preserve">~19.2%</t>
  </si>
  <si>
    <t xml:space="preserve">CN67</t>
  </si>
  <si>
    <t xml:space="preserve">PREPARED FEATHERS AND DOWN AND ARTICLES MADE OF FEATHERS OR OF</t>
  </si>
  <si>
    <t xml:space="preserve">CN80</t>
  </si>
  <si>
    <t xml:space="preserve">TIN AND ARTICLES THEREOF</t>
  </si>
  <si>
    <t xml:space="preserve">CN45</t>
  </si>
  <si>
    <t xml:space="preserve">CORK AND ARTICLES OF CORK</t>
  </si>
  <si>
    <t xml:space="preserve">CN55</t>
  </si>
  <si>
    <t xml:space="preserve">MAN-MADE STAPLE FIBRES</t>
  </si>
  <si>
    <t xml:space="preserve">CN06</t>
  </si>
  <si>
    <t xml:space="preserve">LIVE TREES AND OTHER PLANTS; BULBS, ROOTS AND THE LIKE; CUT FL</t>
  </si>
  <si>
    <t xml:space="preserve">CN09</t>
  </si>
  <si>
    <t xml:space="preserve">COFFEE, TEA, MATÉ AND SPICES</t>
  </si>
  <si>
    <t xml:space="preserve">  ⚪ TAIL — Growing but minor  |  score &gt; 95%  AND  abs_change &lt; 1,000,000 EUR  (37 groups)</t>
  </si>
  <si>
    <t xml:space="preserve">  Growing groups below both thresholds. Not in primary analysis.</t>
  </si>
  <si>
    <t xml:space="preserve">CN95</t>
  </si>
  <si>
    <t xml:space="preserve">TOYS, GAMES AND SPORTS REQUISITES; PARTS AND ACCESSORIES THERE</t>
  </si>
  <si>
    <t xml:space="preserve">CN21</t>
  </si>
  <si>
    <t xml:space="preserve">MISCELLANEOUS EDIBLE PREPARATIONS</t>
  </si>
  <si>
    <t xml:space="preserve">CN15</t>
  </si>
  <si>
    <t xml:space="preserve">ANIMAL, VEGETABLE OR MICROBIAL FATS AND OILS AND THEIR CLEAVAG</t>
  </si>
  <si>
    <t xml:space="preserve">CN35</t>
  </si>
  <si>
    <t xml:space="preserve">ALBUMINOIDAL SUBSTANCES; MODIFIED STARCHES; GLUES; ENZYMES</t>
  </si>
  <si>
    <t xml:space="preserve">CN20</t>
  </si>
  <si>
    <t xml:space="preserve">PREPARATIONS OF VEGETABLES, FRUIT, NUTS OR OTHER PARTS OF PLAN</t>
  </si>
  <si>
    <t xml:space="preserve">CN18</t>
  </si>
  <si>
    <t xml:space="preserve">COCOA AND COCOA PREPARATIONS</t>
  </si>
  <si>
    <t xml:space="preserve">CN29</t>
  </si>
  <si>
    <t xml:space="preserve">ORGANIC CHEMICALS</t>
  </si>
  <si>
    <t xml:space="preserve">CN69</t>
  </si>
  <si>
    <t xml:space="preserve">CERAMIC PRODUCTS</t>
  </si>
  <si>
    <t xml:space="preserve">CN12</t>
  </si>
  <si>
    <t xml:space="preserve">OIL SEEDS AND OLEAGINOUS FRUITS; MISCELLANEOUS GRAINS, SEEDS A</t>
  </si>
  <si>
    <t xml:space="preserve">CN42</t>
  </si>
  <si>
    <t xml:space="preserve">ARTICLES OF LEATHER; SADDLERY AND HARNESS; TRAVEL GOODS, HANDB</t>
  </si>
  <si>
    <t xml:space="preserve">CN89</t>
  </si>
  <si>
    <t xml:space="preserve">SHIPS, BOATS AND FLOATING STRUCTURES</t>
  </si>
  <si>
    <t xml:space="preserve">CN91</t>
  </si>
  <si>
    <t xml:space="preserve">CLOCKS AND WATCHES AND PARTS THEREOF</t>
  </si>
  <si>
    <t xml:space="preserve">CN63</t>
  </si>
  <si>
    <t xml:space="preserve">OTHER MADE-UP TEXTILE ARTICLES; SETS; WORN CLOTHING AND WORN T</t>
  </si>
  <si>
    <t xml:space="preserve">CN16</t>
  </si>
  <si>
    <t xml:space="preserve">PREPARATIONS OF MEAT, OF FISH, OF CRUSTACEANS, MOLLUSCS OR OTH</t>
  </si>
  <si>
    <t xml:space="preserve">CN62</t>
  </si>
  <si>
    <t xml:space="preserve">ARTICLES OF APPAREL AND CLOTHING ACCESSORIES, NOT KNITTED OR C</t>
  </si>
  <si>
    <t xml:space="preserve">CN33</t>
  </si>
  <si>
    <t xml:space="preserve">ESSENTIAL OILS AND RESINOIDS; PERFUMERY, COSMETIC OR TOILET PR</t>
  </si>
  <si>
    <t xml:space="preserve">CN99</t>
  </si>
  <si>
    <t xml:space="preserve">OTHER GOODS NOT ELSEWHERE CLASSIFIED</t>
  </si>
  <si>
    <t xml:space="preserve">CN74</t>
  </si>
  <si>
    <t xml:space="preserve">COPPER AND ARTICLES THEREOF</t>
  </si>
  <si>
    <t xml:space="preserve">CN56</t>
  </si>
  <si>
    <t xml:space="preserve">WADDING, FELT AND NONWOVENS; SPECIAL YARNS; TWINE, CORDAGE, RO</t>
  </si>
  <si>
    <t xml:space="preserve">CN40</t>
  </si>
  <si>
    <t xml:space="preserve">RUBBER AND ARTICLES THEREOF</t>
  </si>
  <si>
    <t xml:space="preserve">CN17</t>
  </si>
  <si>
    <t xml:space="preserve">SUGARS AND SUGAR CONFECTIONERY</t>
  </si>
  <si>
    <t xml:space="preserve">0–100.0% → 0%  (avg ~50.0%)</t>
  </si>
  <si>
    <t xml:space="preserve">~50.0%</t>
  </si>
  <si>
    <t xml:space="preserve">CN70</t>
  </si>
  <si>
    <t xml:space="preserve">GLASS AND GLASSWARE</t>
  </si>
  <si>
    <t xml:space="preserve">CN96</t>
  </si>
  <si>
    <t xml:space="preserve">MISCELLANEOUS MANUFACTURED ARTICLES</t>
  </si>
  <si>
    <t xml:space="preserve">CN25</t>
  </si>
  <si>
    <t xml:space="preserve">SALT; SULPHUR; EARTHS AND STONE; PLASTERING MATERIALS, LIME AN</t>
  </si>
  <si>
    <t xml:space="preserve">CN64</t>
  </si>
  <si>
    <t xml:space="preserve">FOOTWEAR, GAITERS AND THE LIKE; PARTS OF SUCH ARTICLES</t>
  </si>
  <si>
    <t xml:space="preserve">CN34</t>
  </si>
  <si>
    <t xml:space="preserve">SOAP, ORGANIC SURFACE-ACTIVE AGENTS, WASHING PREPARATIONS, LUB</t>
  </si>
  <si>
    <t xml:space="preserve">CN83</t>
  </si>
  <si>
    <t xml:space="preserve">MISCELLANEOUS ARTICLES OF BASE METAL</t>
  </si>
  <si>
    <t xml:space="preserve">CN82</t>
  </si>
  <si>
    <t xml:space="preserve">TOOLS, IMPLEMENTS, CUTLERY, SPOONS AND FORKS, OF BASE METAL; P</t>
  </si>
  <si>
    <t xml:space="preserve">CN68</t>
  </si>
  <si>
    <t xml:space="preserve">ARTICLES OF STONE, PLASTER, CEMENT, ASBESTOS, MICA OR SIMILAR </t>
  </si>
  <si>
    <t xml:space="preserve">CN97</t>
  </si>
  <si>
    <t xml:space="preserve">WORKS OF ART, COLLECTORS' PIECES AND ANTIQUES</t>
  </si>
  <si>
    <t xml:space="preserve">CN93</t>
  </si>
  <si>
    <t xml:space="preserve">ARMS AND AMMUNITION; PARTS AND ACCESSORIES THEREOF</t>
  </si>
  <si>
    <t xml:space="preserve">CN13</t>
  </si>
  <si>
    <t xml:space="preserve">LAC; GUMS, RESINS AND OTHER VEGETABLE SAPS AND EXTRACTS</t>
  </si>
  <si>
    <t xml:space="preserve">CN46</t>
  </si>
  <si>
    <t xml:space="preserve">MANUFACTURES OF STRAW, OF ESPARTO OR OF OTHER PLAITING MATERIA</t>
  </si>
  <si>
    <t xml:space="preserve">CN37</t>
  </si>
  <si>
    <t xml:space="preserve">PHOTOGRAPHIC OR CINEMATOGRAPHIC GOODS</t>
  </si>
  <si>
    <t xml:space="preserve">CN60</t>
  </si>
  <si>
    <t xml:space="preserve">KNITTED OR CROCHETED FABRICS</t>
  </si>
  <si>
    <t xml:space="preserve">CN52</t>
  </si>
  <si>
    <t xml:space="preserve">COTTON</t>
  </si>
  <si>
    <t xml:space="preserve">CN58</t>
  </si>
  <si>
    <t xml:space="preserve">SPECIAL WOVEN FABRICS; TUFTED TEXTILE FABRICS; LACE; TAPESTRIE</t>
  </si>
  <si>
    <t xml:space="preserve">  — NO TRADE in EPA period  (18 groups)</t>
  </si>
  <si>
    <t xml:space="preserve">  Zero or suppressed values throughout EPA period.</t>
  </si>
  <si>
    <t xml:space="preserve">CN02</t>
  </si>
  <si>
    <t xml:space="preserve">MEAT AND EDIBLE MEAT OFFAL</t>
  </si>
  <si>
    <t xml:space="preserve">CN05</t>
  </si>
  <si>
    <t xml:space="preserve">PRODUCTS OF ANIMAL ORIGIN, NOT ELSEWHERE SPECIFIED OR INCLUDED</t>
  </si>
  <si>
    <t xml:space="preserve">CN14</t>
  </si>
  <si>
    <t xml:space="preserve">VEGETABLE PLAITING MATERIALS; VEGETABLE PRODUCTS NOT ELSEWHERE</t>
  </si>
  <si>
    <t xml:space="preserve">CN23</t>
  </si>
  <si>
    <t xml:space="preserve">RESIDUES AND WASTE FROM THE FOOD INDUSTRIES; PREPARED ANIMAL F</t>
  </si>
  <si>
    <t xml:space="preserve">CN24</t>
  </si>
  <si>
    <t xml:space="preserve">TOBACCO AND MANUFACTURED TOBACCO SUBSTITUTES; PRODUCTS, WHETHE</t>
  </si>
  <si>
    <t xml:space="preserve">CN26</t>
  </si>
  <si>
    <t xml:space="preserve">ORES, SLAG AND ASH</t>
  </si>
  <si>
    <t xml:space="preserve">CN31</t>
  </si>
  <si>
    <t xml:space="preserve">FERTILISERS</t>
  </si>
  <si>
    <t xml:space="preserve">CN36</t>
  </si>
  <si>
    <t xml:space="preserve">EXPLOSIVES; PYROTECHNIC PRODUCTS; MATCHES; PYROPHORIC ALLOYS; </t>
  </si>
  <si>
    <t xml:space="preserve">CN41</t>
  </si>
  <si>
    <t xml:space="preserve">RAW HIDES AND SKINS (OTHER THAN FURSKINS) AND LEATHER</t>
  </si>
  <si>
    <t xml:space="preserve">CN50</t>
  </si>
  <si>
    <t xml:space="preserve">SILK</t>
  </si>
  <si>
    <t xml:space="preserve">CN54</t>
  </si>
  <si>
    <t xml:space="preserve">MAN-MADE FILAMENTS; STRIP AND THE LIKE OF MAN-MADE TEXTILE MAT</t>
  </si>
  <si>
    <t xml:space="preserve">CN59</t>
  </si>
  <si>
    <t xml:space="preserve">IMPREGNATED, COATED, COVERED OR LAMINATED TEXTILE FABRICS; TEX</t>
  </si>
  <si>
    <t xml:space="preserve">CN66</t>
  </si>
  <si>
    <t xml:space="preserve">UMBRELLAS, SUN UMBRELLAS, WALKING STICKS, SEAT-STICKS, WHIPS, </t>
  </si>
  <si>
    <t xml:space="preserve">CN75</t>
  </si>
  <si>
    <t xml:space="preserve">NICKEL AND ARTICLES THEREOF</t>
  </si>
  <si>
    <t xml:space="preserve">CN78</t>
  </si>
  <si>
    <t xml:space="preserve">LEAD AND ARTICLES THEREOF</t>
  </si>
  <si>
    <t xml:space="preserve">CN79</t>
  </si>
  <si>
    <t xml:space="preserve">ZINC AND ARTICLES THEREOF</t>
  </si>
  <si>
    <t xml:space="preserve">CN86</t>
  </si>
  <si>
    <t xml:space="preserve">RAILWAY OR TRAMWAY LOCOMOTIVES, ROLLING STOCK AND PARTS THEREO</t>
  </si>
  <si>
    <t xml:space="preserve">CN98</t>
  </si>
  <si>
    <t xml:space="preserve">COMPLETE INDUSTRIAL PLANT</t>
  </si>
  <si>
    <t xml:space="preserve">  C3=total FTA_mean all groups. D4=sum abs_change growing only. Score=(FTA_mean÷C3 + abs_change÷D4)÷2. A:≤80%. B:80–95% OR abs≥1,000,000EUR. Spike:YoY≥2x AND k≤1 AND fta_mean≥1,000,000EUR. Periods:2012–2018 vs 2019–2025.</t>
  </si>
  <si>
    <t xml:space="preserve">IMPORT (Japan→Estonia) | 2012–2018 vs 2019–2025 | Score=(Share_FTA+Share_Δ)÷2 | B≥1M OR score 80–95% | v21</t>
  </si>
  <si>
    <t xml:space="preserve">EU TARIFF (on JP imports)</t>
  </si>
  <si>
    <t xml:space="preserve">  🟢 GROUP A — Core EPA growth  |  Cumulative composite score ≤ 80%  (1 groups)</t>
  </si>
  <si>
    <t xml:space="preserve">6–22.0% → 0%  (avg ~14.0%)</t>
  </si>
  <si>
    <t xml:space="preserve">~14.0%</t>
  </si>
  <si>
    <t xml:space="preserve">  🔵 GROUP B — Secondary growth  |  Score 80–95%  OR  abs_change ≥ 1,000,000 EUR  (9 groups)</t>
  </si>
  <si>
    <t xml:space="preserve">0–14.0% → 0%  (avg ~7.0%)</t>
  </si>
  <si>
    <t xml:space="preserve">~7.0%</t>
  </si>
  <si>
    <t xml:space="preserve">0–4.7% → 0%  (avg ~2.4%)</t>
  </si>
  <si>
    <t xml:space="preserve">~2.4%</t>
  </si>
  <si>
    <t xml:space="preserve">  📉 NEGATIVE / FLAT  |  k ≤ 1, no spike signal  (26 groups)</t>
  </si>
  <si>
    <t xml:space="preserve">0–4.0% → 0%  (avg ~2.0%)</t>
  </si>
  <si>
    <t xml:space="preserve">~2.0%</t>
  </si>
  <si>
    <t xml:space="preserve">0–7.7% → 0%  (avg ~3.9%)</t>
  </si>
  <si>
    <t xml:space="preserve">~3.9%</t>
  </si>
  <si>
    <t xml:space="preserve">0–3.2% → 0%  (avg ~1.6%)</t>
  </si>
  <si>
    <t xml:space="preserve">~1.6%</t>
  </si>
  <si>
    <t xml:space="preserve">3–4.7% → 0%  (avg ~3.7%)</t>
  </si>
  <si>
    <t xml:space="preserve">~3.7%</t>
  </si>
  <si>
    <t xml:space="preserve">  ⚪ TAIL — Growing but minor  |  score &gt; 95%  AND  abs_change &lt; 1,000,000 EUR  (53 groups)</t>
  </si>
  <si>
    <t xml:space="preserve">0–5.6% → 0%  (avg ~2.8%)</t>
  </si>
  <si>
    <t xml:space="preserve">~2.8%</t>
  </si>
  <si>
    <t xml:space="preserve">0–4.5% → 0%  (avg ~2.2%)</t>
  </si>
  <si>
    <t xml:space="preserve">~2.2%</t>
  </si>
  <si>
    <t xml:space="preserve">8–12.0% → 0%  (avg ~10.0%)</t>
  </si>
  <si>
    <t xml:space="preserve">3–17.0% → 0%  (avg ~10.0%)</t>
  </si>
  <si>
    <t xml:space="preserve">0–7.5% → 0%  (avg ~3.8%)</t>
  </si>
  <si>
    <t xml:space="preserve">~3.8%</t>
  </si>
  <si>
    <t xml:space="preserve">0–5.5% → 0%  (avg ~2.8%)</t>
  </si>
  <si>
    <t xml:space="preserve">  — NO TRADE in EPA period  (9 groups)</t>
  </si>
  <si>
    <t xml:space="preserve">0–74.0% → 0%  (avg ~37.0%)</t>
  </si>
  <si>
    <t xml:space="preserve">~37.0%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</si>
</sst>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\x"/>
    <numFmt numFmtId="167" formatCode="0.00%"/>
    <numFmt numFmtId="168" formatCode="0.0%"/>
    <numFmt numFmtId="169" formatCode="0%"/>
    <numFmt numFmtId="170" formatCode="0.0\x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8"/>
      <color rgb="FF7B3F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7B3F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1A5E1A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7"/>
      <color rgb="FF1F3864"/>
      <name val="Arial"/>
      <family val="0"/>
      <charset val="1"/>
    </font>
    <font>
      <sz val="7"/>
      <color rgb="FFFFFFFF"/>
      <name val="Arial"/>
      <family val="0"/>
      <charset val="1"/>
    </font>
    <font>
      <b val="true"/>
      <sz val="8"/>
      <color rgb="FF1F3864"/>
      <name val="Arial"/>
      <family val="0"/>
      <charset val="1"/>
    </font>
    <font>
      <i val="true"/>
      <sz val="7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color rgb="FF000080"/>
      <name val="Arial"/>
      <family val="0"/>
      <charset val="1"/>
    </font>
    <font>
      <sz val="9"/>
      <color rgb="FF000080"/>
      <name val="Arial"/>
      <family val="0"/>
      <charset val="1"/>
    </font>
    <font>
      <i val="true"/>
      <sz val="8"/>
      <color rgb="FFC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FF2CC"/>
        <bgColor rgb="FFFFF3E0"/>
      </patternFill>
    </fill>
    <fill>
      <patternFill patternType="solid">
        <fgColor rgb="FFFFEB9C"/>
        <bgColor rgb="FFFFF2CC"/>
      </patternFill>
    </fill>
    <fill>
      <patternFill patternType="solid">
        <fgColor rgb="FFE2EFDA"/>
        <bgColor rgb="FFE8F5E9"/>
      </patternFill>
    </fill>
    <fill>
      <patternFill patternType="solid">
        <fgColor rgb="FFD9E2F3"/>
        <bgColor rgb="FFE3F2FD"/>
      </patternFill>
    </fill>
    <fill>
      <patternFill patternType="solid">
        <fgColor rgb="FF4472C4"/>
        <bgColor rgb="FF0066CC"/>
      </patternFill>
    </fill>
    <fill>
      <patternFill patternType="solid">
        <fgColor rgb="FFE95F00"/>
        <bgColor rgb="FFFF9900"/>
      </patternFill>
    </fill>
    <fill>
      <patternFill patternType="solid">
        <fgColor rgb="FFC00000"/>
        <bgColor rgb="FF9C0006"/>
      </patternFill>
    </fill>
    <fill>
      <patternFill patternType="solid">
        <fgColor rgb="FFF2F2F2"/>
        <bgColor rgb="FFF5F5F5"/>
      </patternFill>
    </fill>
    <fill>
      <patternFill patternType="solid">
        <fgColor rgb="FF1A5E1A"/>
        <bgColor rgb="FF375623"/>
      </patternFill>
    </fill>
    <fill>
      <patternFill patternType="solid">
        <fgColor rgb="FFE8F5E9"/>
        <bgColor rgb="FFF2F2F2"/>
      </patternFill>
    </fill>
    <fill>
      <patternFill patternType="solid">
        <fgColor rgb="FF00B050"/>
        <bgColor rgb="FF008080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FFD0D0"/>
      </patternFill>
    </fill>
    <fill>
      <patternFill patternType="solid">
        <fgColor rgb="FFFFE0C8"/>
        <bgColor rgb="FFFFE8E8"/>
      </patternFill>
    </fill>
    <fill>
      <patternFill patternType="solid">
        <fgColor rgb="FFFFE8E8"/>
        <bgColor rgb="FFFFF3E0"/>
      </patternFill>
    </fill>
    <fill>
      <patternFill patternType="solid">
        <fgColor rgb="FFFFD0D0"/>
        <bgColor rgb="FFFFC7CE"/>
      </patternFill>
    </fill>
    <fill>
      <patternFill patternType="solid">
        <fgColor rgb="FF1F4E79"/>
        <bgColor rgb="FF1F3864"/>
      </patternFill>
    </fill>
    <fill>
      <patternFill patternType="solid">
        <fgColor rgb="FFE3F2FD"/>
        <bgColor rgb="FFE8F5E9"/>
      </patternFill>
    </fill>
    <fill>
      <patternFill patternType="solid">
        <fgColor rgb="FF92D050"/>
        <bgColor rgb="FFBFBFBF"/>
      </patternFill>
    </fill>
    <fill>
      <patternFill patternType="solid">
        <fgColor rgb="FFFFF3E0"/>
        <bgColor rgb="FFFFF2CC"/>
      </patternFill>
    </fill>
    <fill>
      <patternFill patternType="solid">
        <fgColor rgb="FF595959"/>
        <bgColor rgb="FF375623"/>
      </patternFill>
    </fill>
    <fill>
      <patternFill patternType="solid">
        <fgColor rgb="FFF5F5F5"/>
        <bgColor rgb="FFF2F2F2"/>
      </patternFill>
    </fill>
    <fill>
      <patternFill patternType="solid">
        <fgColor rgb="FF7F7F7F"/>
        <bgColor rgb="FF595959"/>
      </patternFill>
    </fill>
    <fill>
      <patternFill patternType="solid">
        <fgColor rgb="FFFAFAFA"/>
        <bgColor rgb="FFFFFFFF"/>
      </patternFill>
    </fill>
    <fill>
      <patternFill patternType="solid">
        <fgColor rgb="FFBFBFBF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1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1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1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1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4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1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5" fillId="1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6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2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3E0"/>
      <rgbColor rgb="FFFF00FF"/>
      <rgbColor rgb="FF00FFFF"/>
      <rgbColor rgb="FF9C0006"/>
      <rgbColor rgb="FF1A5E1A"/>
      <rgbColor rgb="FF000080"/>
      <rgbColor rgb="FF808000"/>
      <rgbColor rgb="FF800080"/>
      <rgbColor rgb="FF008080"/>
      <rgbColor rgb="FFBFBFBF"/>
      <rgbColor rgb="FF7F7F7F"/>
      <rgbColor rgb="FFF2F2F2"/>
      <rgbColor rgb="FF993366"/>
      <rgbColor rgb="FFFFF2CC"/>
      <rgbColor rgb="FFE3F2FD"/>
      <rgbColor rgb="FF660066"/>
      <rgbColor rgb="FFFAFAFA"/>
      <rgbColor rgb="FF0066CC"/>
      <rgbColor rgb="FFCCCCCC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E8F5E9"/>
      <rgbColor rgb="FFC6EFCE"/>
      <rgbColor rgb="FFFFEB9C"/>
      <rgbColor rgb="FFD9E2F3"/>
      <rgbColor rgb="FFFFD0D0"/>
      <rgbColor rgb="FFFFE0C8"/>
      <rgbColor rgb="FFFFC7CE"/>
      <rgbColor rgb="FF4472C4"/>
      <rgbColor rgb="FF33CCCC"/>
      <rgbColor rgb="FF92D050"/>
      <rgbColor rgb="FFFFE8E8"/>
      <rgbColor rgb="FFFF9900"/>
      <rgbColor rgb="FFE95F00"/>
      <rgbColor rgb="FF595959"/>
      <rgbColor rgb="FFF5F5F5"/>
      <rgbColor rgb="FF1F3864"/>
      <rgbColor rgb="FF00B050"/>
      <rgbColor rgb="FF003300"/>
      <rgbColor rgb="FF333300"/>
      <rgbColor rgb="FF7B3F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17" min="3" style="0" width="9"/>
    <col collapsed="false" customWidth="true" hidden="false" outlineLevel="0" max="19" min="18" style="0" width="13"/>
    <col collapsed="false" customWidth="true" hidden="false" outlineLevel="0" max="20" min="20" style="0" width="14"/>
    <col collapsed="false" customWidth="true" hidden="false" outlineLevel="0" max="21" min="21" style="0" width="9"/>
    <col collapsed="false" customWidth="true" hidden="false" outlineLevel="0" max="27" min="22" style="0" width="10"/>
    <col collapsed="false" customWidth="true" hidden="false" outlineLevel="0" max="28" min="28" style="0" width="11"/>
    <col collapsed="false" customWidth="true" hidden="false" outlineLevel="0" max="33" min="29" style="0" width="9"/>
    <col collapsed="false" customWidth="true" hidden="false" outlineLevel="0" max="34" min="34" style="0" width="24"/>
    <col collapsed="false" customWidth="true" hidden="false" outlineLevel="0" max="36" min="35" style="0" width="9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customFormat="false" ht="18" hidden="false" customHeight="true" outlineLevel="0" collapsed="false">
      <c r="A3" s="3" t="s">
        <v>2</v>
      </c>
      <c r="B3" s="3"/>
      <c r="C3" s="4" t="n">
        <v>105017509.45</v>
      </c>
      <c r="D3" s="5" t="s">
        <v>3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customFormat="false" ht="18" hidden="false" customHeight="true" outlineLevel="0" collapsed="false">
      <c r="A4" s="3" t="s">
        <v>4</v>
      </c>
      <c r="B4" s="3"/>
      <c r="C4" s="3"/>
      <c r="D4" s="6" t="n">
        <v>38322615.3857143</v>
      </c>
      <c r="E4" s="5" t="s">
        <v>5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customFormat="false" ht="24" hidden="false" customHeight="true" outlineLevel="0" collapsed="false">
      <c r="C5" s="7" t="s">
        <v>6</v>
      </c>
      <c r="D5" s="7"/>
      <c r="E5" s="7"/>
      <c r="F5" s="7"/>
      <c r="G5" s="7"/>
      <c r="H5" s="7"/>
      <c r="I5" s="7"/>
      <c r="J5" s="8" t="s">
        <v>7</v>
      </c>
      <c r="K5" s="8"/>
      <c r="L5" s="8"/>
      <c r="M5" s="8"/>
      <c r="N5" s="8"/>
      <c r="O5" s="8"/>
      <c r="P5" s="8"/>
      <c r="Q5" s="9" t="s">
        <v>8</v>
      </c>
      <c r="R5" s="10" t="s">
        <v>9</v>
      </c>
      <c r="S5" s="10"/>
      <c r="T5" s="10"/>
      <c r="U5" s="10"/>
      <c r="V5" s="10"/>
      <c r="W5" s="10"/>
      <c r="X5" s="10"/>
      <c r="Y5" s="10"/>
      <c r="Z5" s="10" t="s">
        <v>10</v>
      </c>
      <c r="AA5" s="10"/>
      <c r="AB5" s="10"/>
      <c r="AC5" s="10" t="s">
        <v>11</v>
      </c>
      <c r="AD5" s="10"/>
      <c r="AE5" s="11" t="s">
        <v>12</v>
      </c>
      <c r="AF5" s="11"/>
      <c r="AG5" s="11"/>
      <c r="AH5" s="12" t="s">
        <v>13</v>
      </c>
      <c r="AI5" s="12"/>
      <c r="AJ5" s="12"/>
    </row>
    <row r="6" customFormat="false" ht="43.5" hidden="false" customHeight="true" outlineLevel="0" collapsed="false">
      <c r="A6" s="13"/>
      <c r="B6" s="13"/>
      <c r="C6" s="14"/>
      <c r="D6" s="14"/>
      <c r="E6" s="14"/>
      <c r="F6" s="14"/>
      <c r="G6" s="14"/>
      <c r="H6" s="14"/>
      <c r="I6" s="14"/>
      <c r="J6" s="15"/>
      <c r="K6" s="15"/>
      <c r="L6" s="15"/>
      <c r="M6" s="15"/>
      <c r="N6" s="15"/>
      <c r="O6" s="15"/>
      <c r="P6" s="15"/>
      <c r="Q6" s="16"/>
      <c r="R6" s="17" t="s">
        <v>14</v>
      </c>
      <c r="S6" s="17" t="s">
        <v>15</v>
      </c>
      <c r="T6" s="17" t="s">
        <v>16</v>
      </c>
      <c r="U6" s="17" t="s">
        <v>17</v>
      </c>
      <c r="V6" s="17" t="s">
        <v>18</v>
      </c>
      <c r="W6" s="17" t="s">
        <v>19</v>
      </c>
      <c r="X6" s="17" t="s">
        <v>20</v>
      </c>
      <c r="Y6" s="17" t="s">
        <v>21</v>
      </c>
      <c r="Z6" s="17" t="s">
        <v>22</v>
      </c>
      <c r="AA6" s="17" t="s">
        <v>23</v>
      </c>
      <c r="AB6" s="17" t="s">
        <v>24</v>
      </c>
      <c r="AC6" s="17" t="s">
        <v>25</v>
      </c>
      <c r="AD6" s="17" t="s">
        <v>26</v>
      </c>
      <c r="AE6" s="18" t="s">
        <v>27</v>
      </c>
      <c r="AF6" s="18" t="s">
        <v>28</v>
      </c>
      <c r="AG6" s="18" t="s">
        <v>29</v>
      </c>
      <c r="AH6" s="19" t="s">
        <v>30</v>
      </c>
      <c r="AI6" s="19" t="s">
        <v>31</v>
      </c>
      <c r="AJ6" s="19" t="s">
        <v>32</v>
      </c>
    </row>
    <row r="7" customFormat="false" ht="15" hidden="false" customHeight="true" outlineLevel="0" collapsed="false">
      <c r="A7" s="20"/>
      <c r="B7" s="20"/>
      <c r="C7" s="21" t="s">
        <v>33</v>
      </c>
      <c r="D7" s="21" t="s">
        <v>34</v>
      </c>
      <c r="E7" s="21" t="s">
        <v>35</v>
      </c>
      <c r="F7" s="21" t="s">
        <v>36</v>
      </c>
      <c r="G7" s="21" t="s">
        <v>37</v>
      </c>
      <c r="H7" s="21" t="s">
        <v>38</v>
      </c>
      <c r="I7" s="21" t="s">
        <v>39</v>
      </c>
      <c r="J7" s="22" t="s">
        <v>40</v>
      </c>
      <c r="K7" s="22" t="s">
        <v>41</v>
      </c>
      <c r="L7" s="22" t="s">
        <v>42</v>
      </c>
      <c r="M7" s="22" t="s">
        <v>43</v>
      </c>
      <c r="N7" s="22" t="s">
        <v>8</v>
      </c>
      <c r="O7" s="22" t="s">
        <v>44</v>
      </c>
      <c r="P7" s="22" t="s">
        <v>45</v>
      </c>
      <c r="Q7" s="23" t="s">
        <v>8</v>
      </c>
    </row>
    <row r="8" customFormat="false" ht="3.75" hidden="false" customHeight="true" outlineLevel="0" collapsed="false"/>
    <row r="9" customFormat="false" ht="12.75" hidden="false" customHeight="true" outlineLevel="0" collapsed="false">
      <c r="A9" s="24" t="s">
        <v>46</v>
      </c>
      <c r="B9" s="24"/>
      <c r="C9" s="25" t="s">
        <v>47</v>
      </c>
      <c r="D9" s="25" t="s">
        <v>48</v>
      </c>
      <c r="E9" s="25" t="s">
        <v>49</v>
      </c>
      <c r="F9" s="25" t="s">
        <v>50</v>
      </c>
      <c r="G9" s="25" t="s">
        <v>51</v>
      </c>
      <c r="H9" s="25" t="s">
        <v>52</v>
      </c>
      <c r="I9" s="25" t="s">
        <v>53</v>
      </c>
      <c r="J9" s="25" t="s">
        <v>54</v>
      </c>
      <c r="K9" s="25" t="s">
        <v>55</v>
      </c>
      <c r="L9" s="25" t="s">
        <v>56</v>
      </c>
      <c r="M9" s="25" t="s">
        <v>57</v>
      </c>
      <c r="N9" s="25" t="s">
        <v>58</v>
      </c>
      <c r="O9" s="25" t="s">
        <v>59</v>
      </c>
      <c r="P9" s="25" t="s">
        <v>60</v>
      </c>
      <c r="Q9" s="25" t="s">
        <v>61</v>
      </c>
      <c r="R9" s="25" t="s">
        <v>62</v>
      </c>
      <c r="S9" s="25" t="s">
        <v>63</v>
      </c>
      <c r="T9" s="25" t="s">
        <v>64</v>
      </c>
      <c r="U9" s="25" t="s">
        <v>65</v>
      </c>
      <c r="V9" s="25" t="s">
        <v>66</v>
      </c>
      <c r="W9" s="25" t="s">
        <v>67</v>
      </c>
      <c r="X9" s="25" t="s">
        <v>68</v>
      </c>
      <c r="Y9" s="25" t="s">
        <v>69</v>
      </c>
      <c r="Z9" s="25" t="s">
        <v>70</v>
      </c>
      <c r="AA9" s="25" t="s">
        <v>71</v>
      </c>
      <c r="AB9" s="25" t="s">
        <v>72</v>
      </c>
      <c r="AC9" s="25" t="s">
        <v>73</v>
      </c>
      <c r="AD9" s="25" t="s">
        <v>74</v>
      </c>
      <c r="AE9" s="25" t="s">
        <v>75</v>
      </c>
      <c r="AF9" s="25" t="s">
        <v>76</v>
      </c>
      <c r="AG9" s="25" t="s">
        <v>77</v>
      </c>
      <c r="AH9" s="25" t="s">
        <v>78</v>
      </c>
      <c r="AI9" s="25" t="s">
        <v>79</v>
      </c>
      <c r="AJ9" s="25" t="s">
        <v>80</v>
      </c>
    </row>
    <row r="11" customFormat="false" ht="21.75" hidden="false" customHeight="true" outlineLevel="0" collapsed="false">
      <c r="A11" s="26" t="s">
        <v>81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</row>
    <row r="12" customFormat="false" ht="15" hidden="false" customHeight="true" outlineLevel="0" collapsed="false">
      <c r="A12" s="27" t="s">
        <v>82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</row>
    <row r="13" customFormat="false" ht="16.5" hidden="false" customHeight="true" outlineLevel="0" collapsed="false">
      <c r="A13" s="28" t="s">
        <v>83</v>
      </c>
      <c r="B13" s="29" t="s">
        <v>84</v>
      </c>
      <c r="C13" s="30" t="n">
        <v>34343098</v>
      </c>
      <c r="D13" s="30" t="n">
        <v>41035223</v>
      </c>
      <c r="E13" s="30" t="n">
        <v>30721156</v>
      </c>
      <c r="F13" s="30" t="n">
        <v>32617557</v>
      </c>
      <c r="G13" s="30" t="n">
        <v>35889116</v>
      </c>
      <c r="H13" s="30" t="n">
        <v>41217191</v>
      </c>
      <c r="I13" s="30" t="n">
        <v>40815079</v>
      </c>
      <c r="J13" s="31" t="n">
        <v>41258451</v>
      </c>
      <c r="K13" s="31" t="n">
        <v>39247090</v>
      </c>
      <c r="L13" s="31" t="n">
        <v>62688378</v>
      </c>
      <c r="M13" s="31" t="n">
        <v>75004286</v>
      </c>
      <c r="N13" s="31" t="n">
        <v>36230203</v>
      </c>
      <c r="O13" s="31" t="n">
        <v>38924240</v>
      </c>
      <c r="P13" s="31" t="n">
        <v>39682424</v>
      </c>
      <c r="Q13" s="32" t="n">
        <v>36230203</v>
      </c>
      <c r="R13" s="33" t="n">
        <f aca="false">IFERROR(AVERAGEIF(C13:I13,"&gt;0"),0)</f>
        <v>36662631.4285714</v>
      </c>
      <c r="S13" s="34" t="n">
        <f aca="false">IFERROR(AVERAGEIF(J13:P13,"&gt;0"),0)</f>
        <v>47576438.8571429</v>
      </c>
      <c r="T13" s="35" t="n">
        <f aca="false">S13-R13</f>
        <v>10913807.4285714</v>
      </c>
      <c r="U13" s="36" t="n">
        <f aca="false">IFERROR(S13/R13,"n/a")</f>
        <v>1.29768205399644</v>
      </c>
      <c r="V13" s="37" t="n">
        <f aca="false">IFERROR(S13/$C$3,0)</f>
        <v>0.453033395157733</v>
      </c>
      <c r="W13" s="37" t="n">
        <f aca="false">IFERROR(T13/$D$4,0)</f>
        <v>0.284787646112479</v>
      </c>
      <c r="X13" s="38" t="n">
        <f aca="false">IFERROR((V13+W13)/2,0)</f>
        <v>0.368910520635106</v>
      </c>
      <c r="Y13" s="39" t="n">
        <v>0.383316988328385</v>
      </c>
      <c r="Z13" s="40" t="n">
        <f aca="false">IFERROR(POWER(P13/C13,1/13)-1,"n/a")</f>
        <v>0.0111779580273641</v>
      </c>
      <c r="AA13" s="41" t="n">
        <f aca="false">IFERROR(POWER(P13/J13,1/6)-1,"n/a")</f>
        <v>-0.00647024312366196</v>
      </c>
      <c r="AB13" s="42" t="n">
        <f aca="false">IFERROR(AA13-Z13,"n/a")</f>
        <v>-0.0176482011510261</v>
      </c>
      <c r="AC13" s="43" t="n">
        <f aca="false">IFERROR(SLOPE(C13:P13,{1,2,3,4,5,6,7,8,9,10,11,12,13,14})/AVERAGEIF(C13:P13,"&gt;0"),"n/a")</f>
        <v>0.0271862747027834</v>
      </c>
      <c r="AD13" s="44" t="n">
        <f aca="false">IFERROR(SLOPE(J13:P13,{1,2,3,4,5,6,7})/AVERAGEIF(J13:P13,"&gt;0"),"n/a")</f>
        <v>-0.0238953481752216</v>
      </c>
      <c r="AE13" s="45" t="n">
        <f aca="false">IFERROR(J13/I13,"n/a")</f>
        <v>1.01086294602051</v>
      </c>
      <c r="AF13" s="46" t="n">
        <f aca="false">IFERROR(J13/H13,"n/a")</f>
        <v>1.00100103862003</v>
      </c>
      <c r="AG13" s="46" t="n">
        <v>0.804577992514454</v>
      </c>
      <c r="AH13" s="47" t="s">
        <v>85</v>
      </c>
      <c r="AI13" s="48" t="n">
        <v>0.04</v>
      </c>
      <c r="AJ13" s="49" t="s">
        <v>86</v>
      </c>
    </row>
    <row r="14" customFormat="false" ht="16.5" hidden="false" customHeight="true" outlineLevel="0" collapsed="false">
      <c r="A14" s="28" t="s">
        <v>87</v>
      </c>
      <c r="B14" s="29" t="s">
        <v>88</v>
      </c>
      <c r="C14" s="50" t="s">
        <v>89</v>
      </c>
      <c r="D14" s="30" t="n">
        <v>58498</v>
      </c>
      <c r="E14" s="50" t="s">
        <v>89</v>
      </c>
      <c r="F14" s="30" t="n">
        <v>2514</v>
      </c>
      <c r="G14" s="30" t="n">
        <v>6060</v>
      </c>
      <c r="H14" s="30" t="n">
        <v>12082</v>
      </c>
      <c r="I14" s="30" t="n">
        <v>129415</v>
      </c>
      <c r="J14" s="31" t="n">
        <v>1078770</v>
      </c>
      <c r="K14" s="31" t="n">
        <v>3664910</v>
      </c>
      <c r="L14" s="31" t="n">
        <v>11734526</v>
      </c>
      <c r="M14" s="31" t="n">
        <v>12476852</v>
      </c>
      <c r="N14" s="31" t="n">
        <v>20460853</v>
      </c>
      <c r="O14" s="31" t="n">
        <v>14267349</v>
      </c>
      <c r="P14" s="31" t="n">
        <v>440273</v>
      </c>
      <c r="Q14" s="32" t="n">
        <v>20460853</v>
      </c>
      <c r="R14" s="33" t="n">
        <f aca="false">IFERROR(AVERAGEIF(C14:I14,"&gt;0"),0)</f>
        <v>41713.8</v>
      </c>
      <c r="S14" s="34" t="n">
        <f aca="false">IFERROR(AVERAGEIF(J14:P14,"&gt;0"),0)</f>
        <v>9160504.71428572</v>
      </c>
      <c r="T14" s="35" t="n">
        <f aca="false">S14-R14</f>
        <v>9118790.91428571</v>
      </c>
      <c r="U14" s="51" t="n">
        <f aca="false">IFERROR(S14/R14,"n/a")</f>
        <v>219.603697440313</v>
      </c>
      <c r="V14" s="52" t="n">
        <f aca="false">IFERROR(S14/$C$3,0)</f>
        <v>0.0872283561309091</v>
      </c>
      <c r="W14" s="37" t="n">
        <f aca="false">IFERROR(T14/$D$4,0)</f>
        <v>0.237948032056418</v>
      </c>
      <c r="X14" s="38" t="n">
        <f aca="false">IFERROR((V14+W14)/2,0)</f>
        <v>0.162588194093663</v>
      </c>
      <c r="Y14" s="39" t="n">
        <v>0.548679045249755</v>
      </c>
      <c r="Z14" s="53" t="str">
        <f aca="false">IFERROR(POWER(P14/C14,1/13)-1,"n/a")</f>
        <v>n/a</v>
      </c>
      <c r="AA14" s="41" t="n">
        <f aca="false">IFERROR(POWER(P14/J14,1/6)-1,"n/a")</f>
        <v>-0.138744122411123</v>
      </c>
      <c r="AB14" s="42" t="str">
        <f aca="false">IFERROR(AA14-Z14,"n/a")</f>
        <v>n/a</v>
      </c>
      <c r="AC14" s="43" t="n">
        <f aca="false">IFERROR(SLOPE(C14:P14,{1,2,3,4,5,6,7,8,9,10,11,12,13,14})/AVERAGEIF(C14:P14,"&gt;0"),"n/a")</f>
        <v>0.232445808235255</v>
      </c>
      <c r="AD14" s="43" t="n">
        <f aca="false">IFERROR(SLOPE(J14:P14,{1,2,3,4,5,6,7})/AVERAGEIF(J14:P14,"&gt;0"),"n/a")</f>
        <v>0.109225555304322</v>
      </c>
      <c r="AE14" s="54" t="n">
        <f aca="false">IFERROR(J14/I14,"n/a")</f>
        <v>8.33574160645984</v>
      </c>
      <c r="AF14" s="55" t="n">
        <f aca="false">IFERROR(J14/H14,"n/a")</f>
        <v>89.2873696407879</v>
      </c>
      <c r="AG14" s="56" t="n">
        <v>1.27971387665118</v>
      </c>
      <c r="AH14" s="47" t="s">
        <v>90</v>
      </c>
      <c r="AI14" s="48" t="n">
        <v>0.025</v>
      </c>
      <c r="AJ14" s="49" t="s">
        <v>91</v>
      </c>
    </row>
    <row r="15" customFormat="false" ht="16.5" hidden="false" customHeight="true" outlineLevel="0" collapsed="false">
      <c r="A15" s="28" t="s">
        <v>92</v>
      </c>
      <c r="B15" s="29" t="s">
        <v>93</v>
      </c>
      <c r="C15" s="30" t="n">
        <v>1394575</v>
      </c>
      <c r="D15" s="30" t="n">
        <v>4207580</v>
      </c>
      <c r="E15" s="30" t="n">
        <v>9453927</v>
      </c>
      <c r="F15" s="30" t="n">
        <v>12087410</v>
      </c>
      <c r="G15" s="30" t="n">
        <v>12201879</v>
      </c>
      <c r="H15" s="30" t="n">
        <v>5820733</v>
      </c>
      <c r="I15" s="30" t="n">
        <v>6583110</v>
      </c>
      <c r="J15" s="31" t="n">
        <v>4032921</v>
      </c>
      <c r="K15" s="31" t="n">
        <v>19064982</v>
      </c>
      <c r="L15" s="31" t="n">
        <v>12962379</v>
      </c>
      <c r="M15" s="31" t="n">
        <v>22342521</v>
      </c>
      <c r="N15" s="31" t="n">
        <v>14723376</v>
      </c>
      <c r="O15" s="31" t="n">
        <v>5758035</v>
      </c>
      <c r="P15" s="31" t="n">
        <v>11285715</v>
      </c>
      <c r="Q15" s="32" t="n">
        <v>14723376</v>
      </c>
      <c r="R15" s="33" t="n">
        <f aca="false">IFERROR(AVERAGEIF(C15:I15,"&gt;0"),0)</f>
        <v>7392744.85714286</v>
      </c>
      <c r="S15" s="34" t="n">
        <f aca="false">IFERROR(AVERAGEIF(J15:P15,"&gt;0"),0)</f>
        <v>12881418.4285714</v>
      </c>
      <c r="T15" s="35" t="n">
        <f aca="false">S15-R15</f>
        <v>5488673.57142857</v>
      </c>
      <c r="U15" s="36" t="n">
        <f aca="false">IFERROR(S15/R15,"n/a")</f>
        <v>1.7424405518507</v>
      </c>
      <c r="V15" s="37" t="n">
        <f aca="false">IFERROR(S15/$C$3,0)</f>
        <v>0.122659721183965</v>
      </c>
      <c r="W15" s="37" t="n">
        <f aca="false">IFERROR(T15/$D$4,0)</f>
        <v>0.143222833728478</v>
      </c>
      <c r="X15" s="38" t="n">
        <f aca="false">IFERROR((V15+W15)/2,0)</f>
        <v>0.132941277456222</v>
      </c>
      <c r="Y15" s="39" t="n">
        <v>0.685520903390294</v>
      </c>
      <c r="Z15" s="53" t="n">
        <f aca="false">IFERROR(POWER(P15/C15,1/13)-1,"n/a")</f>
        <v>0.174499569123647</v>
      </c>
      <c r="AA15" s="53" t="n">
        <f aca="false">IFERROR(POWER(P15/J15,1/6)-1,"n/a")</f>
        <v>0.187093409819802</v>
      </c>
      <c r="AB15" s="57" t="n">
        <f aca="false">IFERROR(AA15-Z15,"n/a")</f>
        <v>0.0125938406961545</v>
      </c>
      <c r="AC15" s="43" t="n">
        <f aca="false">IFERROR(SLOPE(C15:P15,{1,2,3,4,5,6,7,8,9,10,11,12,13,14})/AVERAGEIF(C15:P15,"&gt;0"),"n/a")</f>
        <v>0.0663076809978937</v>
      </c>
      <c r="AD15" s="44" t="n">
        <f aca="false">IFERROR(SLOPE(J15:P15,{1,2,3,4,5,6,7})/AVERAGEIF(J15:P15,"&gt;0"),"n/a")</f>
        <v>-0.00857967571428386</v>
      </c>
      <c r="AE15" s="46" t="n">
        <f aca="false">IFERROR(J15/I15,"n/a")</f>
        <v>0.612616377365713</v>
      </c>
      <c r="AF15" s="46" t="n">
        <f aca="false">IFERROR(J15/H15,"n/a")</f>
        <v>0.692854491006545</v>
      </c>
      <c r="AG15" s="46" t="n">
        <v>0.822040061715031</v>
      </c>
      <c r="AH15" s="47" t="s">
        <v>90</v>
      </c>
      <c r="AI15" s="48" t="n">
        <v>0.025</v>
      </c>
      <c r="AJ15" s="49" t="s">
        <v>91</v>
      </c>
    </row>
    <row r="16" customFormat="false" ht="16.5" hidden="false" customHeight="true" outlineLevel="0" collapsed="false">
      <c r="A16" s="28" t="s">
        <v>94</v>
      </c>
      <c r="B16" s="29" t="s">
        <v>95</v>
      </c>
      <c r="C16" s="50" t="s">
        <v>89</v>
      </c>
      <c r="D16" s="50" t="s">
        <v>89</v>
      </c>
      <c r="E16" s="50" t="s">
        <v>89</v>
      </c>
      <c r="F16" s="30" t="n">
        <v>45</v>
      </c>
      <c r="G16" s="30" t="n">
        <v>238000</v>
      </c>
      <c r="H16" s="50" t="s">
        <v>89</v>
      </c>
      <c r="I16" s="50" t="s">
        <v>89</v>
      </c>
      <c r="J16" s="31" t="n">
        <v>1526400</v>
      </c>
      <c r="K16" s="31" t="n">
        <v>3168000</v>
      </c>
      <c r="L16" s="31" t="n">
        <v>4682823</v>
      </c>
      <c r="M16" s="31" t="n">
        <v>2876640</v>
      </c>
      <c r="N16" s="31" t="n">
        <v>3796808</v>
      </c>
      <c r="O16" s="31" t="n">
        <v>6069494</v>
      </c>
      <c r="P16" s="31" t="n">
        <v>6227256</v>
      </c>
      <c r="Q16" s="32" t="n">
        <v>3796808</v>
      </c>
      <c r="R16" s="33" t="n">
        <f aca="false">IFERROR(AVERAGEIF(C16:I16,"&gt;0"),0)</f>
        <v>119022.5</v>
      </c>
      <c r="S16" s="34" t="n">
        <f aca="false">IFERROR(AVERAGEIF(J16:P16,"&gt;0"),0)</f>
        <v>4049631.57142857</v>
      </c>
      <c r="T16" s="35" t="n">
        <f aca="false">S16-R16</f>
        <v>3930609.07142857</v>
      </c>
      <c r="U16" s="51" t="n">
        <f aca="false">IFERROR(S16/R16,"n/a")</f>
        <v>34.0240842817835</v>
      </c>
      <c r="V16" s="52" t="n">
        <f aca="false">IFERROR(S16/$C$3,0)</f>
        <v>0.0385614893424667</v>
      </c>
      <c r="W16" s="37" t="n">
        <f aca="false">IFERROR(T16/$D$4,0)</f>
        <v>0.102566305349133</v>
      </c>
      <c r="X16" s="58" t="n">
        <f aca="false">IFERROR((V16+W16)/2,0)</f>
        <v>0.0705638973458001</v>
      </c>
      <c r="Y16" s="39" t="n">
        <v>0.75731105658468</v>
      </c>
      <c r="Z16" s="59" t="str">
        <f aca="false">IFERROR(POWER(P16/C16,1/13)-1,"n/a")</f>
        <v>n/a</v>
      </c>
      <c r="AA16" s="59" t="n">
        <f aca="false">IFERROR(POWER(P16/J16,1/6)-1,"n/a")</f>
        <v>0.264070783933127</v>
      </c>
      <c r="AB16" s="42" t="str">
        <f aca="false">IFERROR(AA16-Z16,"n/a")</f>
        <v>n/a</v>
      </c>
      <c r="AC16" s="43" t="n">
        <f aca="false">IFERROR(SLOPE(C16:P16,{1,2,3,4,5,6,7,8,9,10,11,12,13,14})/AVERAGEIF(C16:P16,"&gt;0"),"n/a")</f>
        <v>0.196753107971089</v>
      </c>
      <c r="AD16" s="43" t="n">
        <f aca="false">IFERROR(SLOPE(J16:P16,{1,2,3,4,5,6,7})/AVERAGEIF(J16:P16,"&gt;0"),"n/a")</f>
        <v>0.167736079059891</v>
      </c>
      <c r="AE16" s="46" t="str">
        <f aca="false">IFERROR(J16/I16,"n/a")</f>
        <v>n/a</v>
      </c>
      <c r="AF16" s="46" t="str">
        <f aca="false">IFERROR(J16/H16,"n/a")</f>
        <v>n/a</v>
      </c>
      <c r="AG16" s="56" t="n">
        <v>1.32469318225927</v>
      </c>
      <c r="AH16" s="47" t="s">
        <v>96</v>
      </c>
      <c r="AI16" s="60" t="n">
        <v>1.215</v>
      </c>
      <c r="AJ16" s="61" t="s">
        <v>97</v>
      </c>
    </row>
    <row r="18" customFormat="false" ht="21.75" hidden="false" customHeight="true" outlineLevel="0" collapsed="false">
      <c r="A18" s="62" t="s">
        <v>98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</row>
    <row r="19" customFormat="false" ht="15" hidden="false" customHeight="true" outlineLevel="0" collapsed="false">
      <c r="A19" s="63" t="s">
        <v>99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</row>
    <row r="20" customFormat="false" ht="16.5" hidden="false" customHeight="true" outlineLevel="0" collapsed="false">
      <c r="A20" s="64" t="s">
        <v>100</v>
      </c>
      <c r="B20" s="65" t="s">
        <v>101</v>
      </c>
      <c r="C20" s="30" t="n">
        <v>681911</v>
      </c>
      <c r="D20" s="30" t="n">
        <v>117131</v>
      </c>
      <c r="E20" s="30" t="n">
        <v>93659</v>
      </c>
      <c r="F20" s="30" t="n">
        <v>660315</v>
      </c>
      <c r="G20" s="30" t="n">
        <v>299876</v>
      </c>
      <c r="H20" s="30" t="n">
        <v>325883</v>
      </c>
      <c r="I20" s="30" t="n">
        <v>1680964</v>
      </c>
      <c r="J20" s="31" t="n">
        <v>6595838</v>
      </c>
      <c r="K20" s="31" t="n">
        <v>2798381</v>
      </c>
      <c r="L20" s="31" t="n">
        <v>3604831</v>
      </c>
      <c r="M20" s="31" t="n">
        <v>2201416</v>
      </c>
      <c r="N20" s="31" t="n">
        <v>906340</v>
      </c>
      <c r="O20" s="31" t="n">
        <v>1066040</v>
      </c>
      <c r="P20" s="31" t="n">
        <v>6050499</v>
      </c>
      <c r="Q20" s="32" t="n">
        <v>906340</v>
      </c>
      <c r="R20" s="33" t="n">
        <f aca="false">IFERROR(AVERAGEIF(C20:I20,"&gt;0"),0)</f>
        <v>551391.285714286</v>
      </c>
      <c r="S20" s="34" t="n">
        <f aca="false">IFERROR(AVERAGEIF(J20:P20,"&gt;0"),0)</f>
        <v>3317620.71428571</v>
      </c>
      <c r="T20" s="35" t="n">
        <f aca="false">S20-R20</f>
        <v>2766229.42857143</v>
      </c>
      <c r="U20" s="51" t="n">
        <f aca="false">IFERROR(S20/R20,"n/a")</f>
        <v>6.01681745838255</v>
      </c>
      <c r="V20" s="52" t="n">
        <f aca="false">IFERROR(S20/$C$3,0)</f>
        <v>0.0315911197252804</v>
      </c>
      <c r="W20" s="52" t="n">
        <f aca="false">IFERROR(T20/$D$4,0)</f>
        <v>0.0721826890135116</v>
      </c>
      <c r="X20" s="58" t="n">
        <f aca="false">IFERROR((V20+W20)/2,0)</f>
        <v>0.051886904369396</v>
      </c>
      <c r="Y20" s="66" t="n">
        <v>0.810202558960716</v>
      </c>
      <c r="Z20" s="53" t="n">
        <f aca="false">IFERROR(POWER(P20/C20,1/13)-1,"n/a")</f>
        <v>0.182845334792096</v>
      </c>
      <c r="AA20" s="41" t="n">
        <f aca="false">IFERROR(POWER(P20/J20,1/6)-1,"n/a")</f>
        <v>-0.0142800745649612</v>
      </c>
      <c r="AB20" s="42" t="n">
        <f aca="false">IFERROR(AA20-Z20,"n/a")</f>
        <v>-0.197125409357057</v>
      </c>
      <c r="AC20" s="43" t="n">
        <f aca="false">IFERROR(SLOPE(C20:P20,{1,2,3,4,5,6,7,8,9,10,11,12,13,14})/AVERAGEIF(C20:P20,"&gt;0"),"n/a")</f>
        <v>0.144499646404319</v>
      </c>
      <c r="AD20" s="44" t="n">
        <f aca="false">IFERROR(SLOPE(J20:P20,{1,2,3,4,5,6,7})/AVERAGEIF(J20:P20,"&gt;0"),"n/a")</f>
        <v>-0.0839585124365159</v>
      </c>
      <c r="AE20" s="54" t="n">
        <f aca="false">IFERROR(J20/I20,"n/a")</f>
        <v>3.92384250941722</v>
      </c>
      <c r="AF20" s="55" t="n">
        <f aca="false">IFERROR(J20/H20,"n/a")</f>
        <v>20.2398959135641</v>
      </c>
      <c r="AG20" s="46" t="n">
        <v>0.80608762432802</v>
      </c>
      <c r="AH20" s="47" t="s">
        <v>90</v>
      </c>
      <c r="AI20" s="48" t="n">
        <v>0.025</v>
      </c>
      <c r="AJ20" s="49" t="s">
        <v>91</v>
      </c>
    </row>
    <row r="21" customFormat="false" ht="16.5" hidden="false" customHeight="true" outlineLevel="0" collapsed="false">
      <c r="A21" s="64" t="s">
        <v>102</v>
      </c>
      <c r="B21" s="65" t="s">
        <v>103</v>
      </c>
      <c r="C21" s="30" t="n">
        <v>12794884</v>
      </c>
      <c r="D21" s="30" t="n">
        <v>5897180</v>
      </c>
      <c r="E21" s="30" t="n">
        <v>4046415</v>
      </c>
      <c r="F21" s="30" t="n">
        <v>2073833</v>
      </c>
      <c r="G21" s="30" t="n">
        <v>4104589</v>
      </c>
      <c r="H21" s="30" t="n">
        <v>2633455</v>
      </c>
      <c r="I21" s="30" t="n">
        <v>3591395</v>
      </c>
      <c r="J21" s="31" t="n">
        <v>2205308</v>
      </c>
      <c r="K21" s="31" t="n">
        <v>949172</v>
      </c>
      <c r="L21" s="31" t="n">
        <v>2704374</v>
      </c>
      <c r="M21" s="31" t="n">
        <v>10477165</v>
      </c>
      <c r="N21" s="31" t="n">
        <v>15725640</v>
      </c>
      <c r="O21" s="31" t="n">
        <v>3129631</v>
      </c>
      <c r="P21" s="31" t="n">
        <v>4219720</v>
      </c>
      <c r="Q21" s="32" t="n">
        <v>15725640</v>
      </c>
      <c r="R21" s="33" t="n">
        <f aca="false">IFERROR(AVERAGEIF(C21:I21,"&gt;0"),0)</f>
        <v>5020250.14285714</v>
      </c>
      <c r="S21" s="34" t="n">
        <f aca="false">IFERROR(AVERAGEIF(J21:P21,"&gt;0"),0)</f>
        <v>5630144.28571429</v>
      </c>
      <c r="T21" s="67" t="n">
        <f aca="false">S21-R21</f>
        <v>609894.142857143</v>
      </c>
      <c r="U21" s="68" t="n">
        <f aca="false">IFERROR(S21/R21,"n/a")</f>
        <v>1.12148680354602</v>
      </c>
      <c r="V21" s="52" t="n">
        <f aca="false">IFERROR(S21/$C$3,0)</f>
        <v>0.0536114816967247</v>
      </c>
      <c r="W21" s="69" t="n">
        <f aca="false">IFERROR(T21/$D$4,0)</f>
        <v>0.0159147317248211</v>
      </c>
      <c r="X21" s="58" t="n">
        <f aca="false">IFERROR((V21+W21)/2,0)</f>
        <v>0.0347631067107729</v>
      </c>
      <c r="Y21" s="66" t="n">
        <v>0.846670511467203</v>
      </c>
      <c r="Z21" s="41" t="n">
        <f aca="false">IFERROR(POWER(P21/C21,1/13)-1,"n/a")</f>
        <v>-0.0817898301880758</v>
      </c>
      <c r="AA21" s="53" t="n">
        <f aca="false">IFERROR(POWER(P21/J21,1/6)-1,"n/a")</f>
        <v>0.114215160989948</v>
      </c>
      <c r="AB21" s="70" t="n">
        <f aca="false">IFERROR(AA21-Z21,"n/a")</f>
        <v>0.196004991178024</v>
      </c>
      <c r="AC21" s="43" t="n">
        <f aca="false">IFERROR(SLOPE(C21:P21,{1,2,3,4,5,6,7,8,9,10,11,12,13,14})/AVERAGEIF(C21:P21,"&gt;0"),"n/a")</f>
        <v>0.0035395343914689</v>
      </c>
      <c r="AD21" s="43" t="n">
        <f aca="false">IFERROR(SLOPE(J21:P21,{1,2,3,4,5,6,7})/AVERAGEIF(J21:P21,"&gt;0"),"n/a")</f>
        <v>0.148596927609823</v>
      </c>
      <c r="AE21" s="46" t="n">
        <f aca="false">IFERROR(J21/I21,"n/a")</f>
        <v>0.614053313545294</v>
      </c>
      <c r="AF21" s="46" t="n">
        <f aca="false">IFERROR(J21/H21,"n/a")</f>
        <v>0.837420043251166</v>
      </c>
      <c r="AG21" s="56" t="n">
        <v>1.36615746885621</v>
      </c>
      <c r="AH21" s="47" t="s">
        <v>104</v>
      </c>
      <c r="AI21" s="48" t="n">
        <v>0.0325</v>
      </c>
      <c r="AJ21" s="49" t="s">
        <v>105</v>
      </c>
    </row>
    <row r="22" customFormat="false" ht="16.5" hidden="false" customHeight="true" outlineLevel="0" collapsed="false">
      <c r="A22" s="64" t="s">
        <v>106</v>
      </c>
      <c r="B22" s="65" t="s">
        <v>107</v>
      </c>
      <c r="C22" s="30" t="n">
        <v>4871079</v>
      </c>
      <c r="D22" s="30" t="n">
        <v>3725707</v>
      </c>
      <c r="E22" s="30" t="n">
        <v>4154962</v>
      </c>
      <c r="F22" s="30" t="n">
        <v>4792624</v>
      </c>
      <c r="G22" s="30" t="n">
        <v>5245056</v>
      </c>
      <c r="H22" s="30" t="n">
        <v>3499186</v>
      </c>
      <c r="I22" s="30" t="n">
        <v>2874381</v>
      </c>
      <c r="J22" s="31" t="n">
        <v>4390403</v>
      </c>
      <c r="K22" s="31" t="n">
        <v>7034281</v>
      </c>
      <c r="L22" s="31" t="n">
        <v>4219886</v>
      </c>
      <c r="M22" s="31" t="n">
        <v>7240292</v>
      </c>
      <c r="N22" s="31" t="n">
        <v>4650652</v>
      </c>
      <c r="O22" s="31" t="n">
        <v>3962405</v>
      </c>
      <c r="P22" s="31" t="n">
        <v>3321127</v>
      </c>
      <c r="Q22" s="32" t="n">
        <v>4650652</v>
      </c>
      <c r="R22" s="33" t="n">
        <f aca="false">IFERROR(AVERAGEIF(C22:I22,"&gt;0"),0)</f>
        <v>4166142.14285714</v>
      </c>
      <c r="S22" s="34" t="n">
        <f aca="false">IFERROR(AVERAGEIF(J22:P22,"&gt;0"),0)</f>
        <v>4974149.42857143</v>
      </c>
      <c r="T22" s="67" t="n">
        <f aca="false">S22-R22</f>
        <v>808007.285714285</v>
      </c>
      <c r="U22" s="68" t="n">
        <f aca="false">IFERROR(S22/R22,"n/a")</f>
        <v>1.19394616362277</v>
      </c>
      <c r="V22" s="52" t="n">
        <f aca="false">IFERROR(S22/$C$3,0)</f>
        <v>0.0473649532789546</v>
      </c>
      <c r="W22" s="52" t="n">
        <f aca="false">IFERROR(T22/$D$4,0)</f>
        <v>0.0210843460860318</v>
      </c>
      <c r="X22" s="58" t="n">
        <f aca="false">IFERROR((V22+W22)/2,0)</f>
        <v>0.0342246496824932</v>
      </c>
      <c r="Y22" s="66" t="n">
        <v>0.882401367262756</v>
      </c>
      <c r="Z22" s="41" t="n">
        <f aca="false">IFERROR(POWER(P22/C22,1/13)-1,"n/a")</f>
        <v>-0.0290326213914254</v>
      </c>
      <c r="AA22" s="41" t="n">
        <f aca="false">IFERROR(POWER(P22/J22,1/6)-1,"n/a")</f>
        <v>-0.0454540276853849</v>
      </c>
      <c r="AB22" s="42" t="n">
        <f aca="false">IFERROR(AA22-Z22,"n/a")</f>
        <v>-0.0164214062939595</v>
      </c>
      <c r="AC22" s="43" t="n">
        <f aca="false">IFERROR(SLOPE(C22:P22,{1,2,3,4,5,6,7,8,9,10,11,12,13,14})/AVERAGEIF(C22:P22,"&gt;0"),"n/a")</f>
        <v>0.00531141591386919</v>
      </c>
      <c r="AD22" s="44" t="n">
        <f aca="false">IFERROR(SLOPE(J22:P22,{1,2,3,4,5,6,7})/AVERAGEIF(J22:P22,"&gt;0"),"n/a")</f>
        <v>-0.0640512522945057</v>
      </c>
      <c r="AE22" s="71" t="n">
        <f aca="false">IFERROR(J22/I22,"n/a")</f>
        <v>1.52742555701558</v>
      </c>
      <c r="AF22" s="46" t="n">
        <f aca="false">IFERROR(J22/H22,"n/a")</f>
        <v>1.25469266280786</v>
      </c>
      <c r="AG22" s="72" t="n">
        <v>0.799747050316466</v>
      </c>
      <c r="AH22" s="47" t="s">
        <v>90</v>
      </c>
      <c r="AI22" s="48" t="n">
        <v>0.025</v>
      </c>
      <c r="AJ22" s="49" t="s">
        <v>91</v>
      </c>
    </row>
    <row r="23" customFormat="false" ht="16.5" hidden="false" customHeight="true" outlineLevel="0" collapsed="false">
      <c r="A23" s="64" t="s">
        <v>108</v>
      </c>
      <c r="B23" s="65" t="s">
        <v>109</v>
      </c>
      <c r="C23" s="30" t="n">
        <v>4209424</v>
      </c>
      <c r="D23" s="30" t="n">
        <v>4376517</v>
      </c>
      <c r="E23" s="30" t="n">
        <v>3836271</v>
      </c>
      <c r="F23" s="30" t="n">
        <v>3302641</v>
      </c>
      <c r="G23" s="30" t="n">
        <v>3303087</v>
      </c>
      <c r="H23" s="30" t="n">
        <v>2322010</v>
      </c>
      <c r="I23" s="30" t="n">
        <v>2731767</v>
      </c>
      <c r="J23" s="31" t="n">
        <v>3383166</v>
      </c>
      <c r="K23" s="31" t="n">
        <v>3010444</v>
      </c>
      <c r="L23" s="31" t="n">
        <v>4405439</v>
      </c>
      <c r="M23" s="31" t="n">
        <v>4531707</v>
      </c>
      <c r="N23" s="31" t="n">
        <v>4159092</v>
      </c>
      <c r="O23" s="31" t="n">
        <v>4360995</v>
      </c>
      <c r="P23" s="31" t="n">
        <v>3743411</v>
      </c>
      <c r="Q23" s="32" t="n">
        <v>4159092</v>
      </c>
      <c r="R23" s="33" t="n">
        <f aca="false">IFERROR(AVERAGEIF(C23:I23,"&gt;0"),0)</f>
        <v>3440245.28571429</v>
      </c>
      <c r="S23" s="34" t="n">
        <f aca="false">IFERROR(AVERAGEIF(J23:P23,"&gt;0"),0)</f>
        <v>3942036.28571429</v>
      </c>
      <c r="T23" s="67" t="n">
        <f aca="false">S23-R23</f>
        <v>501791</v>
      </c>
      <c r="U23" s="68" t="n">
        <f aca="false">IFERROR(S23/R23,"n/a")</f>
        <v>1.14585907641054</v>
      </c>
      <c r="V23" s="52" t="n">
        <f aca="false">IFERROR(S23/$C$3,0)</f>
        <v>0.037536943185566</v>
      </c>
      <c r="W23" s="69" t="n">
        <f aca="false">IFERROR(T23/$D$4,0)</f>
        <v>0.0130938610256505</v>
      </c>
      <c r="X23" s="58" t="n">
        <f aca="false">IFERROR((V23+W23)/2,0)</f>
        <v>0.0253154021056082</v>
      </c>
      <c r="Y23" s="66" t="n">
        <v>0.908910444636209</v>
      </c>
      <c r="Z23" s="41" t="n">
        <f aca="false">IFERROR(POWER(P23/C23,1/13)-1,"n/a")</f>
        <v>-0.00898467085640009</v>
      </c>
      <c r="AA23" s="40" t="n">
        <f aca="false">IFERROR(POWER(P23/J23,1/6)-1,"n/a")</f>
        <v>0.0170072153009835</v>
      </c>
      <c r="AB23" s="57" t="n">
        <f aca="false">IFERROR(AA23-Z23,"n/a")</f>
        <v>0.0259918861573836</v>
      </c>
      <c r="AC23" s="43" t="n">
        <f aca="false">IFERROR(SLOPE(C23:P23,{1,2,3,4,5,6,7,8,9,10,11,12,13,14})/AVERAGEIF(C23:P23,"&gt;0"),"n/a")</f>
        <v>0.00804325684934508</v>
      </c>
      <c r="AD23" s="43" t="n">
        <f aca="false">IFERROR(SLOPE(J23:P23,{1,2,3,4,5,6,7})/AVERAGEIF(J23:P23,"&gt;0"),"n/a")</f>
        <v>0.0320310344320234</v>
      </c>
      <c r="AE23" s="45" t="n">
        <f aca="false">IFERROR(J23/I23,"n/a")</f>
        <v>1.23845335272005</v>
      </c>
      <c r="AF23" s="46" t="n">
        <f aca="false">IFERROR(J23/H23,"n/a")</f>
        <v>1.45699889320029</v>
      </c>
      <c r="AG23" s="56" t="n">
        <v>1.03698504285228</v>
      </c>
      <c r="AH23" s="47" t="s">
        <v>90</v>
      </c>
      <c r="AI23" s="48" t="n">
        <v>0.025</v>
      </c>
      <c r="AJ23" s="49" t="s">
        <v>91</v>
      </c>
    </row>
    <row r="24" customFormat="false" ht="16.5" hidden="false" customHeight="true" outlineLevel="0" collapsed="false">
      <c r="A24" s="64" t="s">
        <v>110</v>
      </c>
      <c r="B24" s="65" t="s">
        <v>111</v>
      </c>
      <c r="C24" s="50" t="s">
        <v>89</v>
      </c>
      <c r="D24" s="30" t="n">
        <v>21543</v>
      </c>
      <c r="E24" s="30" t="n">
        <v>51830</v>
      </c>
      <c r="F24" s="50" t="s">
        <v>89</v>
      </c>
      <c r="G24" s="50" t="s">
        <v>89</v>
      </c>
      <c r="H24" s="30" t="n">
        <v>1538903</v>
      </c>
      <c r="I24" s="30" t="n">
        <v>3396178</v>
      </c>
      <c r="J24" s="31" t="n">
        <v>4618760</v>
      </c>
      <c r="K24" s="31" t="n">
        <v>6731139</v>
      </c>
      <c r="L24" s="31" t="n">
        <v>349046</v>
      </c>
      <c r="M24" s="31" t="n">
        <v>773094</v>
      </c>
      <c r="N24" s="31" t="n">
        <v>366719</v>
      </c>
      <c r="O24" s="31" t="n">
        <v>923735</v>
      </c>
      <c r="P24" s="31" t="n">
        <v>501450</v>
      </c>
      <c r="Q24" s="32" t="n">
        <v>366719</v>
      </c>
      <c r="R24" s="33" t="n">
        <f aca="false">IFERROR(AVERAGEIF(C24:I24,"&gt;0"),0)</f>
        <v>1252113.5</v>
      </c>
      <c r="S24" s="34" t="n">
        <f aca="false">IFERROR(AVERAGEIF(J24:P24,"&gt;0"),0)</f>
        <v>2037706.14285714</v>
      </c>
      <c r="T24" s="67" t="n">
        <f aca="false">S24-R24</f>
        <v>785592.642857143</v>
      </c>
      <c r="U24" s="36" t="n">
        <f aca="false">IFERROR(S24/R24,"n/a")</f>
        <v>1.62741328390529</v>
      </c>
      <c r="V24" s="52" t="n">
        <f aca="false">IFERROR(S24/$C$3,0)</f>
        <v>0.0194034895088358</v>
      </c>
      <c r="W24" s="52" t="n">
        <f aca="false">IFERROR(T24/$D$4,0)</f>
        <v>0.020499452736986</v>
      </c>
      <c r="X24" s="58" t="n">
        <f aca="false">IFERROR((V24+W24)/2,0)</f>
        <v>0.0199514711229109</v>
      </c>
      <c r="Y24" s="66" t="n">
        <v>0.9294789469708</v>
      </c>
      <c r="Z24" s="59" t="str">
        <f aca="false">IFERROR(POWER(P24/C24,1/13)-1,"n/a")</f>
        <v>n/a</v>
      </c>
      <c r="AA24" s="41" t="n">
        <f aca="false">IFERROR(POWER(P24/J24,1/6)-1,"n/a")</f>
        <v>-0.309309143762751</v>
      </c>
      <c r="AB24" s="42" t="str">
        <f aca="false">IFERROR(AA24-Z24,"n/a")</f>
        <v>n/a</v>
      </c>
      <c r="AC24" s="44" t="n">
        <f aca="false">IFERROR(SLOPE(C24:P24,{1,2,3,4,5,6,7,8,9,10,11,12,13,14})/AVERAGEIF(C24:P24,"&gt;0"),"n/a")</f>
        <v>-0.00106216858053299</v>
      </c>
      <c r="AD24" s="44" t="n">
        <f aca="false">IFERROR(SLOPE(J24:P24,{1,2,3,4,5,6,7})/AVERAGEIF(J24:P24,"&gt;0"),"n/a")</f>
        <v>-0.419748329757066</v>
      </c>
      <c r="AE24" s="45" t="n">
        <f aca="false">IFERROR(J24/I24,"n/a")</f>
        <v>1.35998760960115</v>
      </c>
      <c r="AF24" s="55" t="n">
        <f aca="false">IFERROR(J24/H24,"n/a")</f>
        <v>3.00133276756235</v>
      </c>
      <c r="AG24" s="72" t="n">
        <v>0.293124371944934</v>
      </c>
      <c r="AH24" s="47" t="s">
        <v>112</v>
      </c>
      <c r="AI24" s="48" t="n">
        <v>0.035</v>
      </c>
      <c r="AJ24" s="49" t="s">
        <v>113</v>
      </c>
    </row>
    <row r="25" customFormat="false" ht="16.5" hidden="false" customHeight="true" outlineLevel="0" collapsed="false">
      <c r="A25" s="64" t="s">
        <v>114</v>
      </c>
      <c r="B25" s="65" t="s">
        <v>115</v>
      </c>
      <c r="C25" s="50" t="s">
        <v>89</v>
      </c>
      <c r="D25" s="30" t="n">
        <v>8953</v>
      </c>
      <c r="E25" s="50" t="s">
        <v>89</v>
      </c>
      <c r="F25" s="30" t="n">
        <v>3807</v>
      </c>
      <c r="G25" s="30" t="n">
        <v>30964</v>
      </c>
      <c r="H25" s="30" t="n">
        <v>250</v>
      </c>
      <c r="I25" s="30" t="n">
        <v>42999</v>
      </c>
      <c r="J25" s="31" t="n">
        <v>3711</v>
      </c>
      <c r="K25" s="31" t="n">
        <v>65483</v>
      </c>
      <c r="L25" s="31" t="n">
        <v>16579</v>
      </c>
      <c r="M25" s="31" t="n">
        <v>18124</v>
      </c>
      <c r="N25" s="31" t="n">
        <v>1913776</v>
      </c>
      <c r="O25" s="31" t="n">
        <v>2650135</v>
      </c>
      <c r="P25" s="31" t="n">
        <v>221433</v>
      </c>
      <c r="Q25" s="32" t="n">
        <v>1913776</v>
      </c>
      <c r="R25" s="33" t="n">
        <f aca="false">IFERROR(AVERAGEIF(C25:I25,"&gt;0"),0)</f>
        <v>17394.6</v>
      </c>
      <c r="S25" s="34" t="n">
        <f aca="false">IFERROR(AVERAGEIF(J25:P25,"&gt;0"),0)</f>
        <v>698463</v>
      </c>
      <c r="T25" s="67" t="n">
        <f aca="false">S25-R25</f>
        <v>681068.4</v>
      </c>
      <c r="U25" s="51" t="n">
        <f aca="false">IFERROR(S25/R25,"n/a")</f>
        <v>40.1540133144769</v>
      </c>
      <c r="V25" s="69" t="n">
        <f aca="false">IFERROR(S25/$C$3,0)</f>
        <v>0.00665091948626477</v>
      </c>
      <c r="W25" s="69" t="n">
        <f aca="false">IFERROR(T25/$D$4,0)</f>
        <v>0.0177719707578697</v>
      </c>
      <c r="X25" s="73" t="n">
        <f aca="false">IFERROR((V25+W25)/2,0)</f>
        <v>0.0122114451220672</v>
      </c>
      <c r="Y25" s="66" t="n">
        <v>0.941901891416612</v>
      </c>
      <c r="Z25" s="59" t="str">
        <f aca="false">IFERROR(POWER(P25/C25,1/13)-1,"n/a")</f>
        <v>n/a</v>
      </c>
      <c r="AA25" s="59" t="n">
        <f aca="false">IFERROR(POWER(P25/J25,1/6)-1,"n/a")</f>
        <v>0.976781030858547</v>
      </c>
      <c r="AB25" s="70" t="str">
        <f aca="false">IFERROR(AA25-Z25,"n/a")</f>
        <v>n/a</v>
      </c>
      <c r="AC25" s="43" t="n">
        <f aca="false">IFERROR(SLOPE(C25:P25,{1,2,3,4,5,6,7,8,9,10,11,12,13,14})/AVERAGEIF(C25:P25,"&gt;0"),"n/a")</f>
        <v>0.313016007345626</v>
      </c>
      <c r="AD25" s="43" t="n">
        <f aca="false">IFERROR(SLOPE(J25:P25,{1,2,3,4,5,6,7})/AVERAGEIF(J25:P25,"&gt;0"),"n/a")</f>
        <v>0.394727269529156</v>
      </c>
      <c r="AE25" s="46" t="n">
        <f aca="false">IFERROR(J25/I25,"n/a")</f>
        <v>0.086304332658899</v>
      </c>
      <c r="AF25" s="55" t="n">
        <f aca="false">IFERROR(J25/H25,"n/a")</f>
        <v>14.844</v>
      </c>
      <c r="AG25" s="56" t="n">
        <v>2.28374969993638</v>
      </c>
      <c r="AH25" s="74" t="s">
        <v>116</v>
      </c>
      <c r="AI25" s="75" t="s">
        <v>117</v>
      </c>
      <c r="AJ25" s="75" t="s">
        <v>89</v>
      </c>
    </row>
    <row r="27" customFormat="false" ht="21.75" hidden="false" customHeight="true" outlineLevel="0" collapsed="false">
      <c r="A27" s="76" t="s">
        <v>118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</row>
    <row r="28" customFormat="false" ht="15" hidden="false" customHeight="true" outlineLevel="0" collapsed="false">
      <c r="A28" s="77" t="s">
        <v>119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</row>
    <row r="29" customFormat="false" ht="16.5" hidden="false" customHeight="true" outlineLevel="0" collapsed="false">
      <c r="A29" s="78" t="s">
        <v>120</v>
      </c>
      <c r="B29" s="79" t="s">
        <v>121</v>
      </c>
      <c r="C29" s="30" t="n">
        <v>3805291</v>
      </c>
      <c r="D29" s="30" t="n">
        <v>1784415</v>
      </c>
      <c r="E29" s="30" t="n">
        <v>3311594</v>
      </c>
      <c r="F29" s="30" t="n">
        <v>2307625</v>
      </c>
      <c r="G29" s="30" t="n">
        <v>3237711</v>
      </c>
      <c r="H29" s="30" t="n">
        <v>2232426</v>
      </c>
      <c r="I29" s="30" t="n">
        <v>1676084</v>
      </c>
      <c r="J29" s="31" t="n">
        <v>3620664</v>
      </c>
      <c r="K29" s="31" t="n">
        <v>1547275</v>
      </c>
      <c r="L29" s="31" t="n">
        <v>1218386</v>
      </c>
      <c r="M29" s="31" t="n">
        <v>1810564</v>
      </c>
      <c r="N29" s="31" t="n">
        <v>2258466</v>
      </c>
      <c r="O29" s="31" t="n">
        <v>4014983</v>
      </c>
      <c r="P29" s="31" t="n">
        <v>1421957</v>
      </c>
      <c r="Q29" s="32" t="n">
        <v>2258466</v>
      </c>
      <c r="R29" s="33" t="n">
        <f aca="false">IFERROR(AVERAGEIF(C29:I29,"&gt;0"),0)</f>
        <v>2622163.71428571</v>
      </c>
      <c r="S29" s="34" t="n">
        <f aca="false">IFERROR(AVERAGEIF(J29:P29,"&gt;0"),0)</f>
        <v>2270327.85714286</v>
      </c>
      <c r="T29" s="80" t="n">
        <f aca="false">S29-R29</f>
        <v>-351835.857142857</v>
      </c>
      <c r="U29" s="81" t="n">
        <f aca="false">IFERROR(S29/R29,"n/a")</f>
        <v>0.865822314897414</v>
      </c>
      <c r="V29" s="69" t="n">
        <f aca="false">IFERROR(S29/$C$3,0)</f>
        <v>0.021618565028185</v>
      </c>
      <c r="W29" s="69" t="n">
        <f aca="false">IFERROR(T29/$D$4,0)</f>
        <v>-0.00918089367340029</v>
      </c>
      <c r="X29" s="73" t="n">
        <f aca="false">IFERROR((V29+W29)/2,0)</f>
        <v>0.00621883567739236</v>
      </c>
      <c r="Y29" s="82"/>
      <c r="Z29" s="41" t="n">
        <f aca="false">IFERROR(POWER(P29/C29,1/13)-1,"n/a")</f>
        <v>-0.0729241326754002</v>
      </c>
      <c r="AA29" s="41" t="n">
        <f aca="false">IFERROR(POWER(P29/J29,1/6)-1,"n/a")</f>
        <v>-0.144244485126546</v>
      </c>
      <c r="AB29" s="42" t="n">
        <f aca="false">IFERROR(AA29-Z29,"n/a")</f>
        <v>-0.071320352451146</v>
      </c>
      <c r="AC29" s="44" t="n">
        <f aca="false">IFERROR(SLOPE(C29:P29,{1,2,3,4,5,6,7,8,9,10,11,12,13,14})/AVERAGEIF(C29:P29,"&gt;0"),"n/a")</f>
        <v>-0.0266047242209111</v>
      </c>
      <c r="AD29" s="44" t="n">
        <f aca="false">IFERROR(SLOPE(J29:P29,{1,2,3,4,5,6,7})/AVERAGEIF(J29:P29,"&gt;0"),"n/a")</f>
        <v>-0.00976298577392378</v>
      </c>
      <c r="AE29" s="83" t="n">
        <f aca="false">IFERROR(J29/I29,"n/a")</f>
        <v>2.1601924485885</v>
      </c>
      <c r="AF29" s="71" t="n">
        <f aca="false">IFERROR(J29/H29,"n/a")</f>
        <v>1.62185174335006</v>
      </c>
      <c r="AG29" s="56" t="n">
        <v>1.12985238024674</v>
      </c>
      <c r="AH29" s="47" t="s">
        <v>112</v>
      </c>
      <c r="AI29" s="48" t="n">
        <v>0.035</v>
      </c>
      <c r="AJ29" s="49" t="s">
        <v>113</v>
      </c>
    </row>
    <row r="31" customFormat="false" ht="21.75" hidden="false" customHeight="true" outlineLevel="0" collapsed="false">
      <c r="A31" s="84" t="s">
        <v>122</v>
      </c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</row>
    <row r="32" customFormat="false" ht="15" hidden="false" customHeight="true" outlineLevel="0" collapsed="false">
      <c r="A32" s="85" t="s">
        <v>123</v>
      </c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</row>
    <row r="33" customFormat="false" ht="16.5" hidden="false" customHeight="true" outlineLevel="0" collapsed="false">
      <c r="A33" s="86" t="s">
        <v>124</v>
      </c>
      <c r="B33" s="87" t="s">
        <v>125</v>
      </c>
      <c r="C33" s="50" t="s">
        <v>89</v>
      </c>
      <c r="D33" s="50" t="s">
        <v>89</v>
      </c>
      <c r="E33" s="50" t="s">
        <v>89</v>
      </c>
      <c r="F33" s="30" t="n">
        <v>719816</v>
      </c>
      <c r="G33" s="30" t="n">
        <v>227801</v>
      </c>
      <c r="H33" s="30" t="n">
        <v>1944419</v>
      </c>
      <c r="I33" s="30" t="n">
        <v>2516644</v>
      </c>
      <c r="J33" s="31" t="n">
        <v>1800102</v>
      </c>
      <c r="K33" s="31" t="n">
        <v>2095278</v>
      </c>
      <c r="L33" s="31" t="n">
        <v>748140</v>
      </c>
      <c r="M33" s="31" t="n">
        <v>1422689</v>
      </c>
      <c r="N33" s="31" t="n">
        <v>1066943</v>
      </c>
      <c r="O33" s="31" t="n">
        <v>229427</v>
      </c>
      <c r="P33" s="31" t="n">
        <v>846000</v>
      </c>
      <c r="Q33" s="32" t="n">
        <v>1066943</v>
      </c>
      <c r="R33" s="33" t="n">
        <f aca="false">IFERROR(AVERAGEIF(C33:I33,"&gt;0"),0)</f>
        <v>1352170</v>
      </c>
      <c r="S33" s="34" t="n">
        <f aca="false">IFERROR(AVERAGEIF(J33:P33,"&gt;0"),0)</f>
        <v>1172654.14285714</v>
      </c>
      <c r="T33" s="80" t="n">
        <f aca="false">S33-R33</f>
        <v>-179515.857142857</v>
      </c>
      <c r="U33" s="81" t="n">
        <f aca="false">IFERROR(S33/R33,"n/a")</f>
        <v>0.867238692514361</v>
      </c>
      <c r="V33" s="69" t="n">
        <f aca="false">IFERROR(S33/$C$3,0)</f>
        <v>0.0111662726434724</v>
      </c>
      <c r="W33" s="69" t="n">
        <f aca="false">IFERROR(T33/$D$4,0)</f>
        <v>-0.00468433209310072</v>
      </c>
      <c r="X33" s="73" t="n">
        <f aca="false">IFERROR((V33+W33)/2,0)</f>
        <v>0.00324097027518586</v>
      </c>
      <c r="Y33" s="82"/>
      <c r="Z33" s="40" t="str">
        <f aca="false">IFERROR(POWER(P33/C33,1/13)-1,"n/a")</f>
        <v>n/a</v>
      </c>
      <c r="AA33" s="41" t="n">
        <f aca="false">IFERROR(POWER(P33/J33,1/6)-1,"n/a")</f>
        <v>-0.118249851593137</v>
      </c>
      <c r="AB33" s="42" t="str">
        <f aca="false">IFERROR(AA33-Z33,"n/a")</f>
        <v>n/a</v>
      </c>
      <c r="AC33" s="44" t="n">
        <f aca="false">IFERROR(SLOPE(C33:P33,{1,2,3,4,5,6,7,8,9,10,11,12,13,14})/AVERAGEIF(C33:P33,"&gt;0"),"n/a")</f>
        <v>-0.0384429494951958</v>
      </c>
      <c r="AD33" s="44" t="n">
        <f aca="false">IFERROR(SLOPE(J33:P33,{1,2,3,4,5,6,7})/AVERAGEIF(J33:P33,"&gt;0"),"n/a")</f>
        <v>-0.191117274987547</v>
      </c>
      <c r="AE33" s="46" t="n">
        <f aca="false">IFERROR(J33/I33,"n/a")</f>
        <v>0.715278760126581</v>
      </c>
      <c r="AF33" s="46" t="n">
        <f aca="false">IFERROR(J33/H33,"n/a")</f>
        <v>0.925778857334762</v>
      </c>
      <c r="AG33" s="72" t="n">
        <v>0.608980352547418</v>
      </c>
      <c r="AH33" s="47" t="s">
        <v>126</v>
      </c>
      <c r="AI33" s="60" t="n">
        <v>2</v>
      </c>
      <c r="AJ33" s="61" t="s">
        <v>127</v>
      </c>
    </row>
    <row r="34" customFormat="false" ht="16.5" hidden="false" customHeight="true" outlineLevel="0" collapsed="false">
      <c r="A34" s="86" t="s">
        <v>128</v>
      </c>
      <c r="B34" s="87" t="s">
        <v>129</v>
      </c>
      <c r="C34" s="30" t="n">
        <v>823777</v>
      </c>
      <c r="D34" s="30" t="n">
        <v>1219175</v>
      </c>
      <c r="E34" s="30" t="n">
        <v>1012263</v>
      </c>
      <c r="F34" s="30" t="n">
        <v>1817075</v>
      </c>
      <c r="G34" s="30" t="n">
        <v>1328718</v>
      </c>
      <c r="H34" s="30" t="n">
        <v>1162389</v>
      </c>
      <c r="I34" s="30" t="n">
        <v>892639</v>
      </c>
      <c r="J34" s="31" t="n">
        <v>367450</v>
      </c>
      <c r="K34" s="31" t="n">
        <v>587903</v>
      </c>
      <c r="L34" s="31" t="n">
        <v>1222477</v>
      </c>
      <c r="M34" s="31" t="n">
        <v>2068841</v>
      </c>
      <c r="N34" s="31" t="n">
        <v>1171190</v>
      </c>
      <c r="O34" s="31" t="n">
        <v>1035142</v>
      </c>
      <c r="P34" s="31" t="n">
        <v>970296</v>
      </c>
      <c r="Q34" s="32" t="n">
        <v>1171190</v>
      </c>
      <c r="R34" s="33" t="n">
        <f aca="false">IFERROR(AVERAGEIF(C34:I34,"&gt;0"),0)</f>
        <v>1179433.71428571</v>
      </c>
      <c r="S34" s="34" t="n">
        <f aca="false">IFERROR(AVERAGEIF(J34:P34,"&gt;0"),0)</f>
        <v>1060471.28571429</v>
      </c>
      <c r="T34" s="80" t="n">
        <f aca="false">S34-R34</f>
        <v>-118962.428571429</v>
      </c>
      <c r="U34" s="81" t="n">
        <f aca="false">IFERROR(S34/R34,"n/a")</f>
        <v>0.899135977604749</v>
      </c>
      <c r="V34" s="69" t="n">
        <f aca="false">IFERROR(S34/$C$3,0)</f>
        <v>0.010098042614686</v>
      </c>
      <c r="W34" s="69" t="n">
        <f aca="false">IFERROR(T34/$D$4,0)</f>
        <v>-0.00310423564190702</v>
      </c>
      <c r="X34" s="73" t="n">
        <f aca="false">IFERROR((V34+W34)/2,0)</f>
        <v>0.00349690348638947</v>
      </c>
      <c r="Y34" s="82"/>
      <c r="Z34" s="40" t="n">
        <f aca="false">IFERROR(POWER(P34/C34,1/13)-1,"n/a")</f>
        <v>0.0126720272552983</v>
      </c>
      <c r="AA34" s="53" t="n">
        <f aca="false">IFERROR(POWER(P34/J34,1/6)-1,"n/a")</f>
        <v>0.175667009392495</v>
      </c>
      <c r="AB34" s="70" t="n">
        <f aca="false">IFERROR(AA34-Z34,"n/a")</f>
        <v>0.162994982137197</v>
      </c>
      <c r="AC34" s="43" t="n">
        <f aca="false">IFERROR(SLOPE(C34:P34,{1,2,3,4,5,6,7,8,9,10,11,12,13,14})/AVERAGEIF(C34:P34,"&gt;0"),"n/a")</f>
        <v>0.00057545022943109</v>
      </c>
      <c r="AD34" s="43" t="n">
        <f aca="false">IFERROR(SLOPE(J34:P34,{1,2,3,4,5,6,7})/AVERAGEIF(J34:P34,"&gt;0"),"n/a")</f>
        <v>0.0893042635087176</v>
      </c>
      <c r="AE34" s="46" t="n">
        <f aca="false">IFERROR(J34/I34,"n/a")</f>
        <v>0.411644573002076</v>
      </c>
      <c r="AF34" s="46" t="n">
        <f aca="false">IFERROR(J34/H34,"n/a")</f>
        <v>0.316116205504354</v>
      </c>
      <c r="AG34" s="46" t="n">
        <v>0.99849568231052</v>
      </c>
      <c r="AH34" s="47" t="s">
        <v>90</v>
      </c>
      <c r="AI34" s="48" t="n">
        <v>0.025</v>
      </c>
      <c r="AJ34" s="49" t="s">
        <v>91</v>
      </c>
    </row>
    <row r="35" customFormat="false" ht="16.5" hidden="false" customHeight="true" outlineLevel="0" collapsed="false">
      <c r="A35" s="86" t="s">
        <v>130</v>
      </c>
      <c r="B35" s="87" t="s">
        <v>131</v>
      </c>
      <c r="C35" s="30" t="n">
        <v>181011</v>
      </c>
      <c r="D35" s="50" t="s">
        <v>89</v>
      </c>
      <c r="E35" s="30" t="n">
        <v>47361</v>
      </c>
      <c r="F35" s="30" t="n">
        <v>584099</v>
      </c>
      <c r="G35" s="30" t="n">
        <v>3907561</v>
      </c>
      <c r="H35" s="30" t="n">
        <v>4474950</v>
      </c>
      <c r="I35" s="30" t="n">
        <v>480199</v>
      </c>
      <c r="J35" s="31" t="n">
        <v>1110126</v>
      </c>
      <c r="K35" s="31" t="n">
        <v>390289</v>
      </c>
      <c r="L35" s="31" t="n">
        <v>1651532</v>
      </c>
      <c r="M35" s="31" t="n">
        <v>1240062</v>
      </c>
      <c r="N35" s="31" t="n">
        <v>532601</v>
      </c>
      <c r="O35" s="31" t="n">
        <v>914203</v>
      </c>
      <c r="P35" s="31" t="n">
        <v>1</v>
      </c>
      <c r="Q35" s="32" t="n">
        <v>532601</v>
      </c>
      <c r="R35" s="33" t="n">
        <f aca="false">IFERROR(AVERAGEIF(C35:I35,"&gt;0"),0)</f>
        <v>1612530.16666667</v>
      </c>
      <c r="S35" s="34" t="n">
        <f aca="false">IFERROR(AVERAGEIF(J35:P35,"&gt;0"),0)</f>
        <v>834116.285714286</v>
      </c>
      <c r="T35" s="80" t="n">
        <f aca="false">S35-R35</f>
        <v>-778413.880952381</v>
      </c>
      <c r="U35" s="81" t="n">
        <f aca="false">IFERROR(S35/R35,"n/a")</f>
        <v>0.517271740372166</v>
      </c>
      <c r="V35" s="69" t="n">
        <f aca="false">IFERROR(S35/$C$3,0)</f>
        <v>0.00794264013765645</v>
      </c>
      <c r="W35" s="69" t="n">
        <f aca="false">IFERROR(T35/$D$4,0)</f>
        <v>-0.0203121283116432</v>
      </c>
      <c r="X35" s="73" t="n">
        <f aca="false">IFERROR((V35+W35)/2,0)</f>
        <v>-0.00618474408699338</v>
      </c>
      <c r="Y35" s="82"/>
      <c r="Z35" s="41" t="n">
        <f aca="false">IFERROR(POWER(P35/C35,1/13)-1,"n/a")</f>
        <v>-0.60594108580646</v>
      </c>
      <c r="AA35" s="41" t="n">
        <f aca="false">IFERROR(POWER(P35/J35,1/6)-1,"n/a")</f>
        <v>-0.901726153648606</v>
      </c>
      <c r="AB35" s="42" t="n">
        <f aca="false">IFERROR(AA35-Z35,"n/a")</f>
        <v>-0.295785067842146</v>
      </c>
      <c r="AC35" s="44" t="n">
        <f aca="false">IFERROR(SLOPE(C35:P35,{1,2,3,4,5,6,7,8,9,10,11,12,13,14})/AVERAGEIF(C35:P35,"&gt;0"),"n/a")</f>
        <v>-0.0416335215440696</v>
      </c>
      <c r="AD35" s="44" t="n">
        <f aca="false">IFERROR(SLOPE(J35:P35,{1,2,3,4,5,6,7})/AVERAGEIF(J35:P35,"&gt;0"),"n/a")</f>
        <v>-0.14564079280484</v>
      </c>
      <c r="AE35" s="83" t="n">
        <f aca="false">IFERROR(J35/I35,"n/a")</f>
        <v>2.3118040645649</v>
      </c>
      <c r="AF35" s="46" t="n">
        <f aca="false">IFERROR(J35/H35,"n/a")</f>
        <v>0.248075620956659</v>
      </c>
      <c r="AG35" s="72" t="n">
        <v>0.578178776260613</v>
      </c>
      <c r="AH35" s="47" t="s">
        <v>132</v>
      </c>
      <c r="AI35" s="48" t="n">
        <v>0.075</v>
      </c>
      <c r="AJ35" s="49" t="s">
        <v>133</v>
      </c>
    </row>
    <row r="36" customFormat="false" ht="16.5" hidden="false" customHeight="true" outlineLevel="0" collapsed="false">
      <c r="A36" s="86" t="s">
        <v>134</v>
      </c>
      <c r="B36" s="87" t="s">
        <v>135</v>
      </c>
      <c r="C36" s="30" t="n">
        <v>289431</v>
      </c>
      <c r="D36" s="30" t="n">
        <v>409844</v>
      </c>
      <c r="E36" s="30" t="n">
        <v>429055</v>
      </c>
      <c r="F36" s="30" t="n">
        <v>253601</v>
      </c>
      <c r="G36" s="30" t="n">
        <v>176950</v>
      </c>
      <c r="H36" s="30" t="n">
        <v>258012</v>
      </c>
      <c r="I36" s="30" t="n">
        <v>175125</v>
      </c>
      <c r="J36" s="31" t="n">
        <v>184271</v>
      </c>
      <c r="K36" s="31" t="n">
        <v>148224</v>
      </c>
      <c r="L36" s="31" t="n">
        <v>213774</v>
      </c>
      <c r="M36" s="31" t="n">
        <v>241486</v>
      </c>
      <c r="N36" s="31" t="n">
        <v>191436</v>
      </c>
      <c r="O36" s="31" t="n">
        <v>252334</v>
      </c>
      <c r="P36" s="31" t="n">
        <v>206908</v>
      </c>
      <c r="Q36" s="32" t="n">
        <v>191436</v>
      </c>
      <c r="R36" s="33" t="n">
        <f aca="false">IFERROR(AVERAGEIF(C36:I36,"&gt;0"),0)</f>
        <v>284574</v>
      </c>
      <c r="S36" s="34" t="n">
        <f aca="false">IFERROR(AVERAGEIF(J36:P36,"&gt;0"),0)</f>
        <v>205490.428571429</v>
      </c>
      <c r="T36" s="80" t="n">
        <f aca="false">S36-R36</f>
        <v>-79083.5714285714</v>
      </c>
      <c r="U36" s="81" t="n">
        <f aca="false">IFERROR(S36/R36,"n/a")</f>
        <v>0.722098394693221</v>
      </c>
      <c r="V36" s="69" t="n">
        <f aca="false">IFERROR(S36/$C$3,0)</f>
        <v>0.00195672540367437</v>
      </c>
      <c r="W36" s="69" t="n">
        <f aca="false">IFERROR(T36/$D$4,0)</f>
        <v>-0.00206362667663992</v>
      </c>
      <c r="X36" s="73" t="n">
        <f aca="false">IFERROR((V36+W36)/2,0)</f>
        <v>-5.3450636482773E-005</v>
      </c>
      <c r="Y36" s="82"/>
      <c r="Z36" s="41" t="n">
        <f aca="false">IFERROR(POWER(P36/C36,1/13)-1,"n/a")</f>
        <v>-0.0254882156871384</v>
      </c>
      <c r="AA36" s="40" t="n">
        <f aca="false">IFERROR(POWER(P36/J36,1/6)-1,"n/a")</f>
        <v>0.0194987908194451</v>
      </c>
      <c r="AB36" s="57" t="n">
        <f aca="false">IFERROR(AA36-Z36,"n/a")</f>
        <v>0.0449870065065835</v>
      </c>
      <c r="AC36" s="44" t="n">
        <f aca="false">IFERROR(SLOPE(C36:P36,{1,2,3,4,5,6,7,8,9,10,11,12,13,14})/AVERAGEIF(C36:P36,"&gt;0"),"n/a")</f>
        <v>-0.0463261177387687</v>
      </c>
      <c r="AD36" s="43" t="n">
        <f aca="false">IFERROR(SLOPE(J36:P36,{1,2,3,4,5,6,7})/AVERAGEIF(J36:P36,"&gt;0"),"n/a")</f>
        <v>0.0441092842002373</v>
      </c>
      <c r="AE36" s="45" t="n">
        <f aca="false">IFERROR(J36/I36,"n/a")</f>
        <v>1.0522255531763</v>
      </c>
      <c r="AF36" s="46" t="n">
        <f aca="false">IFERROR(J36/H36,"n/a")</f>
        <v>0.714195463776879</v>
      </c>
      <c r="AG36" s="56" t="n">
        <v>1.05548792795123</v>
      </c>
      <c r="AH36" s="47" t="s">
        <v>136</v>
      </c>
      <c r="AI36" s="48" t="n">
        <v>0.05</v>
      </c>
      <c r="AJ36" s="49" t="s">
        <v>137</v>
      </c>
    </row>
    <row r="37" customFormat="false" ht="16.5" hidden="false" customHeight="true" outlineLevel="0" collapsed="false">
      <c r="A37" s="86" t="s">
        <v>138</v>
      </c>
      <c r="B37" s="87" t="s">
        <v>139</v>
      </c>
      <c r="C37" s="30" t="n">
        <v>3056</v>
      </c>
      <c r="D37" s="30" t="n">
        <v>83156</v>
      </c>
      <c r="E37" s="30" t="n">
        <v>943028</v>
      </c>
      <c r="F37" s="30" t="n">
        <v>442727</v>
      </c>
      <c r="G37" s="30" t="n">
        <v>22981</v>
      </c>
      <c r="H37" s="30" t="n">
        <v>128938</v>
      </c>
      <c r="I37" s="30" t="n">
        <v>26692</v>
      </c>
      <c r="J37" s="31" t="n">
        <v>194461</v>
      </c>
      <c r="K37" s="31" t="n">
        <v>35723</v>
      </c>
      <c r="L37" s="31" t="n">
        <v>172857</v>
      </c>
      <c r="M37" s="31" t="n">
        <v>406012</v>
      </c>
      <c r="N37" s="31" t="n">
        <v>283805</v>
      </c>
      <c r="O37" s="31" t="n">
        <v>199937</v>
      </c>
      <c r="P37" s="31" t="n">
        <v>67605</v>
      </c>
      <c r="Q37" s="32" t="n">
        <v>283805</v>
      </c>
      <c r="R37" s="33" t="n">
        <f aca="false">IFERROR(AVERAGEIF(C37:I37,"&gt;0"),0)</f>
        <v>235796.857142857</v>
      </c>
      <c r="S37" s="34" t="n">
        <f aca="false">IFERROR(AVERAGEIF(J37:P37,"&gt;0"),0)</f>
        <v>194342.857142857</v>
      </c>
      <c r="T37" s="80" t="n">
        <f aca="false">S37-R37</f>
        <v>-41454</v>
      </c>
      <c r="U37" s="81" t="n">
        <f aca="false">IFERROR(S37/R37,"n/a")</f>
        <v>0.824196130082916</v>
      </c>
      <c r="V37" s="69" t="n">
        <f aca="false">IFERROR(S37/$C$3,0)</f>
        <v>0.0018505757578967</v>
      </c>
      <c r="W37" s="69" t="n">
        <f aca="false">IFERROR(T37/$D$4,0)</f>
        <v>-0.00108171114060897</v>
      </c>
      <c r="X37" s="73" t="n">
        <f aca="false">IFERROR((V37+W37)/2,0)</f>
        <v>0.000384432308643861</v>
      </c>
      <c r="Y37" s="82"/>
      <c r="Z37" s="59" t="n">
        <f aca="false">IFERROR(POWER(P37/C37,1/13)-1,"n/a")</f>
        <v>0.26896052690345</v>
      </c>
      <c r="AA37" s="41" t="n">
        <f aca="false">IFERROR(POWER(P37/J37,1/6)-1,"n/a")</f>
        <v>-0.161458842292109</v>
      </c>
      <c r="AB37" s="42" t="n">
        <f aca="false">IFERROR(AA37-Z37,"n/a")</f>
        <v>-0.430419369195559</v>
      </c>
      <c r="AC37" s="44" t="n">
        <f aca="false">IFERROR(SLOPE(C37:P37,{1,2,3,4,5,6,7,8,9,10,11,12,13,14})/AVERAGEIF(C37:P37,"&gt;0"),"n/a")</f>
        <v>-0.0350387558716547</v>
      </c>
      <c r="AD37" s="43" t="n">
        <f aca="false">IFERROR(SLOPE(J37:P37,{1,2,3,4,5,6,7})/AVERAGEIF(J37:P37,"&gt;0"),"n/a")</f>
        <v>0.0108071155542488</v>
      </c>
      <c r="AE37" s="54" t="n">
        <f aca="false">IFERROR(J37/I37,"n/a")</f>
        <v>7.28536640191818</v>
      </c>
      <c r="AF37" s="71" t="n">
        <f aca="false">IFERROR(J37/H37,"n/a")</f>
        <v>1.5081744714514</v>
      </c>
      <c r="AG37" s="46" t="n">
        <v>0.94566034499657</v>
      </c>
      <c r="AH37" s="47" t="s">
        <v>112</v>
      </c>
      <c r="AI37" s="48" t="n">
        <v>0.035</v>
      </c>
      <c r="AJ37" s="49" t="s">
        <v>113</v>
      </c>
    </row>
    <row r="38" customFormat="false" ht="16.5" hidden="false" customHeight="true" outlineLevel="0" collapsed="false">
      <c r="A38" s="86" t="s">
        <v>140</v>
      </c>
      <c r="B38" s="87" t="s">
        <v>141</v>
      </c>
      <c r="C38" s="30" t="n">
        <v>281766</v>
      </c>
      <c r="D38" s="30" t="n">
        <v>6183</v>
      </c>
      <c r="E38" s="30" t="n">
        <v>47143</v>
      </c>
      <c r="F38" s="30" t="n">
        <v>711971</v>
      </c>
      <c r="G38" s="30" t="n">
        <v>354063</v>
      </c>
      <c r="H38" s="30" t="n">
        <v>347060</v>
      </c>
      <c r="I38" s="30" t="n">
        <v>481518</v>
      </c>
      <c r="J38" s="31" t="n">
        <v>64781</v>
      </c>
      <c r="K38" s="31" t="n">
        <v>271403</v>
      </c>
      <c r="L38" s="31" t="n">
        <v>4849</v>
      </c>
      <c r="M38" s="31" t="n">
        <v>8499</v>
      </c>
      <c r="N38" s="31" t="n">
        <v>7001</v>
      </c>
      <c r="O38" s="31" t="n">
        <v>101009</v>
      </c>
      <c r="P38" s="31" t="n">
        <v>130491</v>
      </c>
      <c r="Q38" s="32" t="n">
        <v>7001</v>
      </c>
      <c r="R38" s="33" t="n">
        <f aca="false">IFERROR(AVERAGEIF(C38:I38,"&gt;0"),0)</f>
        <v>318529.142857143</v>
      </c>
      <c r="S38" s="34" t="n">
        <f aca="false">IFERROR(AVERAGEIF(J38:P38,"&gt;0"),0)</f>
        <v>84004.7142857143</v>
      </c>
      <c r="T38" s="80" t="n">
        <f aca="false">S38-R38</f>
        <v>-234524.428571429</v>
      </c>
      <c r="U38" s="81" t="n">
        <f aca="false">IFERROR(S38/R38,"n/a")</f>
        <v>0.263726934158077</v>
      </c>
      <c r="V38" s="69" t="n">
        <f aca="false">IFERROR(S38/$C$3,0)</f>
        <v>0.000799911507382584</v>
      </c>
      <c r="W38" s="69" t="n">
        <f aca="false">IFERROR(T38/$D$4,0)</f>
        <v>-0.00611973964227017</v>
      </c>
      <c r="X38" s="73" t="n">
        <f aca="false">IFERROR((V38+W38)/2,0)</f>
        <v>-0.00265991406744379</v>
      </c>
      <c r="Y38" s="82"/>
      <c r="Z38" s="41" t="n">
        <f aca="false">IFERROR(POWER(P38/C38,1/13)-1,"n/a")</f>
        <v>-0.0574942728301044</v>
      </c>
      <c r="AA38" s="53" t="n">
        <f aca="false">IFERROR(POWER(P38/J38,1/6)-1,"n/a")</f>
        <v>0.123799458741386</v>
      </c>
      <c r="AB38" s="70" t="n">
        <f aca="false">IFERROR(AA38-Z38,"n/a")</f>
        <v>0.18129373157149</v>
      </c>
      <c r="AC38" s="44" t="n">
        <f aca="false">IFERROR(SLOPE(C38:P38,{1,2,3,4,5,6,7,8,9,10,11,12,13,14})/AVERAGEIF(C38:P38,"&gt;0"),"n/a")</f>
        <v>-0.093898035633123</v>
      </c>
      <c r="AD38" s="44" t="n">
        <f aca="false">IFERROR(SLOPE(J38:P38,{1,2,3,4,5,6,7})/AVERAGEIF(J38:P38,"&gt;0"),"n/a")</f>
        <v>-0.0601607392782378</v>
      </c>
      <c r="AE38" s="46" t="n">
        <f aca="false">IFERROR(J38/I38,"n/a")</f>
        <v>0.134534949887647</v>
      </c>
      <c r="AF38" s="46" t="n">
        <f aca="false">IFERROR(J38/H38,"n/a")</f>
        <v>0.186656485910217</v>
      </c>
      <c r="AG38" s="46" t="n">
        <v>0.946379426551458</v>
      </c>
      <c r="AH38" s="47" t="s">
        <v>112</v>
      </c>
      <c r="AI38" s="48" t="n">
        <v>0.035</v>
      </c>
      <c r="AJ38" s="49" t="s">
        <v>113</v>
      </c>
    </row>
    <row r="39" customFormat="false" ht="16.5" hidden="false" customHeight="true" outlineLevel="0" collapsed="false">
      <c r="A39" s="86" t="s">
        <v>142</v>
      </c>
      <c r="B39" s="87" t="s">
        <v>143</v>
      </c>
      <c r="C39" s="30" t="n">
        <v>161708</v>
      </c>
      <c r="D39" s="30" t="n">
        <v>113114</v>
      </c>
      <c r="E39" s="30" t="n">
        <v>89403</v>
      </c>
      <c r="F39" s="30" t="n">
        <v>57995</v>
      </c>
      <c r="G39" s="30" t="n">
        <v>73611</v>
      </c>
      <c r="H39" s="30" t="n">
        <v>73510</v>
      </c>
      <c r="I39" s="30" t="n">
        <v>67667</v>
      </c>
      <c r="J39" s="31" t="n">
        <v>47856</v>
      </c>
      <c r="K39" s="31" t="n">
        <v>80254</v>
      </c>
      <c r="L39" s="31" t="n">
        <v>82275</v>
      </c>
      <c r="M39" s="31" t="n">
        <v>77802</v>
      </c>
      <c r="N39" s="31" t="n">
        <v>136363</v>
      </c>
      <c r="O39" s="31" t="n">
        <v>82167</v>
      </c>
      <c r="P39" s="31" t="n">
        <v>76194</v>
      </c>
      <c r="Q39" s="32" t="n">
        <v>136363</v>
      </c>
      <c r="R39" s="33" t="n">
        <f aca="false">IFERROR(AVERAGEIF(C39:I39,"&gt;0"),0)</f>
        <v>91001.1428571429</v>
      </c>
      <c r="S39" s="34" t="n">
        <f aca="false">IFERROR(AVERAGEIF(J39:P39,"&gt;0"),0)</f>
        <v>83273</v>
      </c>
      <c r="T39" s="80" t="n">
        <f aca="false">S39-R39</f>
        <v>-7728.14285714286</v>
      </c>
      <c r="U39" s="81" t="n">
        <f aca="false">IFERROR(S39/R39,"n/a")</f>
        <v>0.915076419762389</v>
      </c>
      <c r="V39" s="69" t="n">
        <f aca="false">IFERROR(S39/$C$3,0)</f>
        <v>0.00079294396178427</v>
      </c>
      <c r="W39" s="69" t="n">
        <f aca="false">IFERROR(T39/$D$4,0)</f>
        <v>-0.000201660110599438</v>
      </c>
      <c r="X39" s="73" t="n">
        <f aca="false">IFERROR((V39+W39)/2,0)</f>
        <v>0.000295641925592416</v>
      </c>
      <c r="Y39" s="82"/>
      <c r="Z39" s="41" t="n">
        <f aca="false">IFERROR(POWER(P39/C39,1/13)-1,"n/a")</f>
        <v>-0.056241854735464</v>
      </c>
      <c r="AA39" s="53" t="n">
        <f aca="false">IFERROR(POWER(P39/J39,1/6)-1,"n/a")</f>
        <v>0.0805977600950896</v>
      </c>
      <c r="AB39" s="70" t="n">
        <f aca="false">IFERROR(AA39-Z39,"n/a")</f>
        <v>0.136839614830554</v>
      </c>
      <c r="AC39" s="44" t="n">
        <f aca="false">IFERROR(SLOPE(C39:P39,{1,2,3,4,5,6,7,8,9,10,11,12,13,14})/AVERAGEIF(C39:P39,"&gt;0"),"n/a")</f>
        <v>-0.0213650754996533</v>
      </c>
      <c r="AD39" s="43" t="n">
        <f aca="false">IFERROR(SLOPE(J39:P39,{1,2,3,4,5,6,7})/AVERAGEIF(J39:P39,"&gt;0"),"n/a")</f>
        <v>0.0612992377910178</v>
      </c>
      <c r="AE39" s="46" t="n">
        <f aca="false">IFERROR(J39/I39,"n/a")</f>
        <v>0.70722804321161</v>
      </c>
      <c r="AF39" s="46" t="n">
        <f aca="false">IFERROR(J39/H39,"n/a")</f>
        <v>0.651013467555435</v>
      </c>
      <c r="AG39" s="56" t="n">
        <v>1.17975013910071</v>
      </c>
      <c r="AH39" s="47" t="s">
        <v>144</v>
      </c>
      <c r="AI39" s="48" t="n">
        <v>0.03</v>
      </c>
      <c r="AJ39" s="49" t="s">
        <v>145</v>
      </c>
    </row>
    <row r="40" customFormat="false" ht="16.5" hidden="false" customHeight="true" outlineLevel="0" collapsed="false">
      <c r="A40" s="86" t="s">
        <v>146</v>
      </c>
      <c r="B40" s="87" t="s">
        <v>147</v>
      </c>
      <c r="C40" s="30" t="n">
        <v>11411</v>
      </c>
      <c r="D40" s="30" t="n">
        <v>53324</v>
      </c>
      <c r="E40" s="30" t="n">
        <v>35488</v>
      </c>
      <c r="F40" s="30" t="n">
        <v>40394</v>
      </c>
      <c r="G40" s="30" t="n">
        <v>144256</v>
      </c>
      <c r="H40" s="30" t="n">
        <v>116008</v>
      </c>
      <c r="I40" s="30" t="n">
        <v>158519</v>
      </c>
      <c r="J40" s="31" t="n">
        <v>138185</v>
      </c>
      <c r="K40" s="31" t="n">
        <v>71866</v>
      </c>
      <c r="L40" s="31" t="n">
        <v>75674</v>
      </c>
      <c r="M40" s="31" t="n">
        <v>68121</v>
      </c>
      <c r="N40" s="31" t="n">
        <v>65009</v>
      </c>
      <c r="O40" s="31" t="n">
        <v>33166</v>
      </c>
      <c r="P40" s="31" t="n">
        <v>21496</v>
      </c>
      <c r="Q40" s="32" t="n">
        <v>65009</v>
      </c>
      <c r="R40" s="33" t="n">
        <f aca="false">IFERROR(AVERAGEIF(C40:I40,"&gt;0"),0)</f>
        <v>79914.2857142857</v>
      </c>
      <c r="S40" s="34" t="n">
        <f aca="false">IFERROR(AVERAGEIF(J40:P40,"&gt;0"),0)</f>
        <v>67645.2857142857</v>
      </c>
      <c r="T40" s="80" t="n">
        <f aca="false">S40-R40</f>
        <v>-12269</v>
      </c>
      <c r="U40" s="81" t="n">
        <f aca="false">IFERROR(S40/R40,"n/a")</f>
        <v>0.846473006792993</v>
      </c>
      <c r="V40" s="69" t="n">
        <f aca="false">IFERROR(S40/$C$3,0)</f>
        <v>0.000644133402787393</v>
      </c>
      <c r="W40" s="69" t="n">
        <f aca="false">IFERROR(T40/$D$4,0)</f>
        <v>-0.00032015038317488</v>
      </c>
      <c r="X40" s="73" t="n">
        <f aca="false">IFERROR((V40+W40)/2,0)</f>
        <v>0.000161991509806256</v>
      </c>
      <c r="Y40" s="82"/>
      <c r="Z40" s="40" t="n">
        <f aca="false">IFERROR(POWER(P40/C40,1/13)-1,"n/a")</f>
        <v>0.0499206015706422</v>
      </c>
      <c r="AA40" s="41" t="n">
        <f aca="false">IFERROR(POWER(P40/J40,1/6)-1,"n/a")</f>
        <v>-0.266641846085752</v>
      </c>
      <c r="AB40" s="42" t="n">
        <f aca="false">IFERROR(AA40-Z40,"n/a")</f>
        <v>-0.316562447656394</v>
      </c>
      <c r="AC40" s="44" t="n">
        <f aca="false">IFERROR(SLOPE(C40:P40,{1,2,3,4,5,6,7,8,9,10,11,12,13,14})/AVERAGEIF(C40:P40,"&gt;0"),"n/a")</f>
        <v>-0.00376901234375746</v>
      </c>
      <c r="AD40" s="44" t="n">
        <f aca="false">IFERROR(SLOPE(J40:P40,{1,2,3,4,5,6,7})/AVERAGEIF(J40:P40,"&gt;0"),"n/a")</f>
        <v>-0.231317988583303</v>
      </c>
      <c r="AE40" s="46" t="n">
        <f aca="false">IFERROR(J40/I40,"n/a")</f>
        <v>0.871725155974994</v>
      </c>
      <c r="AF40" s="46" t="n">
        <f aca="false">IFERROR(J40/H40,"n/a")</f>
        <v>1.19116785049307</v>
      </c>
      <c r="AG40" s="72" t="n">
        <v>0.589698645103203</v>
      </c>
      <c r="AH40" s="47" t="s">
        <v>148</v>
      </c>
      <c r="AI40" s="48" t="n">
        <v>0.06</v>
      </c>
      <c r="AJ40" s="49" t="s">
        <v>149</v>
      </c>
    </row>
    <row r="41" customFormat="false" ht="16.5" hidden="false" customHeight="true" outlineLevel="0" collapsed="false">
      <c r="A41" s="86" t="s">
        <v>150</v>
      </c>
      <c r="B41" s="87" t="s">
        <v>151</v>
      </c>
      <c r="C41" s="30" t="n">
        <v>212536</v>
      </c>
      <c r="D41" s="30" t="n">
        <v>142419</v>
      </c>
      <c r="E41" s="30" t="n">
        <v>39692</v>
      </c>
      <c r="F41" s="30" t="n">
        <v>62359</v>
      </c>
      <c r="G41" s="30" t="n">
        <v>38469</v>
      </c>
      <c r="H41" s="30" t="n">
        <v>108369</v>
      </c>
      <c r="I41" s="30" t="n">
        <v>86321</v>
      </c>
      <c r="J41" s="31" t="n">
        <v>65117</v>
      </c>
      <c r="K41" s="31" t="n">
        <v>39253</v>
      </c>
      <c r="L41" s="31" t="n">
        <v>28557</v>
      </c>
      <c r="M41" s="31" t="n">
        <v>34999</v>
      </c>
      <c r="N41" s="31" t="n">
        <v>47030</v>
      </c>
      <c r="O41" s="31" t="n">
        <v>130092</v>
      </c>
      <c r="P41" s="31" t="n">
        <v>73255</v>
      </c>
      <c r="Q41" s="32" t="n">
        <v>47030</v>
      </c>
      <c r="R41" s="33" t="n">
        <f aca="false">IFERROR(AVERAGEIF(C41:I41,"&gt;0"),0)</f>
        <v>98595</v>
      </c>
      <c r="S41" s="34" t="n">
        <f aca="false">IFERROR(AVERAGEIF(J41:P41,"&gt;0"),0)</f>
        <v>59757.5714285714</v>
      </c>
      <c r="T41" s="80" t="n">
        <f aca="false">S41-R41</f>
        <v>-38837.4285714286</v>
      </c>
      <c r="U41" s="81" t="n">
        <f aca="false">IFERROR(S41/R41,"n/a")</f>
        <v>0.606091297008686</v>
      </c>
      <c r="V41" s="69" t="n">
        <f aca="false">IFERROR(S41/$C$3,0)</f>
        <v>0.00056902483920572</v>
      </c>
      <c r="W41" s="69" t="n">
        <f aca="false">IFERROR(T41/$D$4,0)</f>
        <v>-0.00101343366522699</v>
      </c>
      <c r="X41" s="73" t="n">
        <f aca="false">IFERROR((V41+W41)/2,0)</f>
        <v>-0.000222204413010634</v>
      </c>
      <c r="Y41" s="82"/>
      <c r="Z41" s="41" t="n">
        <f aca="false">IFERROR(POWER(P41/C41,1/13)-1,"n/a")</f>
        <v>-0.0786688569506773</v>
      </c>
      <c r="AA41" s="40" t="n">
        <f aca="false">IFERROR(POWER(P41/J41,1/6)-1,"n/a")</f>
        <v>0.0198206809519208</v>
      </c>
      <c r="AB41" s="57" t="n">
        <f aca="false">IFERROR(AA41-Z41,"n/a")</f>
        <v>0.0984895379025981</v>
      </c>
      <c r="AC41" s="44" t="n">
        <f aca="false">IFERROR(SLOPE(C41:P41,{1,2,3,4,5,6,7,8,9,10,11,12,13,14})/AVERAGEIF(C41:P41,"&gt;0"),"n/a")</f>
        <v>-0.0652276558554412</v>
      </c>
      <c r="AD41" s="43" t="n">
        <f aca="false">IFERROR(SLOPE(J41:P41,{1,2,3,4,5,6,7})/AVERAGEIF(J41:P41,"&gt;0"),"n/a")</f>
        <v>0.134211922936245</v>
      </c>
      <c r="AE41" s="46" t="n">
        <f aca="false">IFERROR(J41/I41,"n/a")</f>
        <v>0.754358730783934</v>
      </c>
      <c r="AF41" s="46" t="n">
        <f aca="false">IFERROR(J41/H41,"n/a")</f>
        <v>0.600882171100592</v>
      </c>
      <c r="AG41" s="56" t="n">
        <v>1.39662636892396</v>
      </c>
      <c r="AH41" s="47" t="s">
        <v>152</v>
      </c>
      <c r="AI41" s="60" t="n">
        <v>0.25</v>
      </c>
      <c r="AJ41" s="61" t="s">
        <v>153</v>
      </c>
    </row>
    <row r="42" customFormat="false" ht="16.5" hidden="false" customHeight="true" outlineLevel="0" collapsed="false">
      <c r="A42" s="86" t="s">
        <v>154</v>
      </c>
      <c r="B42" s="87" t="s">
        <v>155</v>
      </c>
      <c r="C42" s="50" t="s">
        <v>89</v>
      </c>
      <c r="D42" s="50" t="s">
        <v>89</v>
      </c>
      <c r="E42" s="50" t="s">
        <v>89</v>
      </c>
      <c r="F42" s="50" t="s">
        <v>89</v>
      </c>
      <c r="G42" s="50" t="s">
        <v>89</v>
      </c>
      <c r="H42" s="50" t="s">
        <v>89</v>
      </c>
      <c r="I42" s="50" t="s">
        <v>89</v>
      </c>
      <c r="J42" s="31" t="n">
        <v>9187</v>
      </c>
      <c r="K42" s="31" t="n">
        <v>42409</v>
      </c>
      <c r="L42" s="31" t="n">
        <v>66342</v>
      </c>
      <c r="M42" s="31" t="n">
        <v>8220</v>
      </c>
      <c r="N42" s="31" t="n">
        <v>31111</v>
      </c>
      <c r="O42" s="31" t="n">
        <v>174123</v>
      </c>
      <c r="P42" s="31" t="n">
        <v>78702</v>
      </c>
      <c r="Q42" s="32" t="n">
        <v>31111</v>
      </c>
      <c r="R42" s="33" t="n">
        <f aca="false">IFERROR(AVERAGEIF(C42:I42,"&gt;0"),0)</f>
        <v>0</v>
      </c>
      <c r="S42" s="34" t="n">
        <f aca="false">IFERROR(AVERAGEIF(J42:P42,"&gt;0"),0)</f>
        <v>58584.8571428571</v>
      </c>
      <c r="T42" s="88" t="n">
        <f aca="false">S42-R42</f>
        <v>58584.8571428571</v>
      </c>
      <c r="U42" s="81" t="str">
        <f aca="false">IFERROR(S42/R42,"n/a")</f>
        <v>n/a</v>
      </c>
      <c r="V42" s="69" t="n">
        <f aca="false">IFERROR(S42/$C$3,0)</f>
        <v>0.000557857993868632</v>
      </c>
      <c r="W42" s="69" t="n">
        <f aca="false">IFERROR(T42/$D$4,0)</f>
        <v>0.00152872805139224</v>
      </c>
      <c r="X42" s="73" t="n">
        <f aca="false">IFERROR((V42+W42)/2,0)</f>
        <v>0.00104329302263043</v>
      </c>
      <c r="Y42" s="82"/>
      <c r="Z42" s="59" t="str">
        <f aca="false">IFERROR(POWER(P42/C42,1/13)-1,"n/a")</f>
        <v>n/a</v>
      </c>
      <c r="AA42" s="59" t="n">
        <f aca="false">IFERROR(POWER(P42/J42,1/6)-1,"n/a")</f>
        <v>0.43043680327059</v>
      </c>
      <c r="AB42" s="57" t="str">
        <f aca="false">IFERROR(AA42-Z42,"n/a")</f>
        <v>n/a</v>
      </c>
      <c r="AC42" s="43" t="n">
        <f aca="false">IFERROR(SLOPE(C42:P42,{1,2,3,4,5,6,7,8,9,10,11,12,13,14})/AVERAGEIF(C42:P42,"&gt;0"),"n/a")</f>
        <v>0.266245056011549</v>
      </c>
      <c r="AD42" s="43" t="n">
        <f aca="false">IFERROR(SLOPE(J42:P42,{1,2,3,4,5,6,7})/AVERAGEIF(J42:P42,"&gt;0"),"n/a")</f>
        <v>0.266245056011549</v>
      </c>
      <c r="AE42" s="46" t="str">
        <f aca="false">IFERROR(J42/I42,"n/a")</f>
        <v>n/a</v>
      </c>
      <c r="AF42" s="46" t="str">
        <f aca="false">IFERROR(J42/H42,"n/a")</f>
        <v>n/a</v>
      </c>
      <c r="AG42" s="56" t="n">
        <v>1.61552554617559</v>
      </c>
      <c r="AH42" s="47" t="s">
        <v>152</v>
      </c>
      <c r="AI42" s="60" t="n">
        <v>0.25</v>
      </c>
      <c r="AJ42" s="61" t="s">
        <v>153</v>
      </c>
    </row>
    <row r="43" customFormat="false" ht="16.5" hidden="false" customHeight="true" outlineLevel="0" collapsed="false">
      <c r="A43" s="86" t="s">
        <v>156</v>
      </c>
      <c r="B43" s="87" t="s">
        <v>157</v>
      </c>
      <c r="C43" s="30" t="n">
        <v>627323</v>
      </c>
      <c r="D43" s="30" t="n">
        <v>242963</v>
      </c>
      <c r="E43" s="30" t="n">
        <v>39104</v>
      </c>
      <c r="F43" s="30" t="n">
        <v>49790</v>
      </c>
      <c r="G43" s="30" t="n">
        <v>85326</v>
      </c>
      <c r="H43" s="30" t="n">
        <v>81185</v>
      </c>
      <c r="I43" s="30" t="n">
        <v>46789</v>
      </c>
      <c r="J43" s="31" t="n">
        <v>56798</v>
      </c>
      <c r="K43" s="31" t="n">
        <v>31023</v>
      </c>
      <c r="L43" s="31" t="n">
        <v>23209</v>
      </c>
      <c r="M43" s="31" t="n">
        <v>20350</v>
      </c>
      <c r="N43" s="31" t="n">
        <v>19991</v>
      </c>
      <c r="O43" s="31" t="n">
        <v>45074</v>
      </c>
      <c r="P43" s="31" t="n">
        <v>85430</v>
      </c>
      <c r="Q43" s="32" t="n">
        <v>19991</v>
      </c>
      <c r="R43" s="33" t="n">
        <f aca="false">IFERROR(AVERAGEIF(C43:I43,"&gt;0"),0)</f>
        <v>167497.142857143</v>
      </c>
      <c r="S43" s="34" t="n">
        <f aca="false">IFERROR(AVERAGEIF(J43:P43,"&gt;0"),0)</f>
        <v>40267.8571428571</v>
      </c>
      <c r="T43" s="80" t="n">
        <f aca="false">S43-R43</f>
        <v>-127229.285714286</v>
      </c>
      <c r="U43" s="81" t="n">
        <f aca="false">IFERROR(S43/R43,"n/a")</f>
        <v>0.240409218067686</v>
      </c>
      <c r="V43" s="69" t="n">
        <f aca="false">IFERROR(S43/$C$3,0)</f>
        <v>0.00038343946027428</v>
      </c>
      <c r="W43" s="69" t="n">
        <f aca="false">IFERROR(T43/$D$4,0)</f>
        <v>-0.00331995309907041</v>
      </c>
      <c r="X43" s="73" t="n">
        <f aca="false">IFERROR((V43+W43)/2,0)</f>
        <v>-0.00146825681939807</v>
      </c>
      <c r="Y43" s="82"/>
      <c r="Z43" s="41" t="n">
        <f aca="false">IFERROR(POWER(P43/C43,1/13)-1,"n/a")</f>
        <v>-0.142184707443947</v>
      </c>
      <c r="AA43" s="53" t="n">
        <f aca="false">IFERROR(POWER(P43/J43,1/6)-1,"n/a")</f>
        <v>0.0704003123736283</v>
      </c>
      <c r="AB43" s="70" t="n">
        <f aca="false">IFERROR(AA43-Z43,"n/a")</f>
        <v>0.212585019817575</v>
      </c>
      <c r="AC43" s="44" t="n">
        <f aca="false">IFERROR(SLOPE(C43:P43,{1,2,3,4,5,6,7,8,9,10,11,12,13,14})/AVERAGEIF(C43:P43,"&gt;0"),"n/a")</f>
        <v>-0.21263556696955</v>
      </c>
      <c r="AD43" s="43" t="n">
        <f aca="false">IFERROR(SLOPE(J43:P43,{1,2,3,4,5,6,7})/AVERAGEIF(J43:P43,"&gt;0"),"n/a")</f>
        <v>0.0982527716186253</v>
      </c>
      <c r="AE43" s="45" t="n">
        <f aca="false">IFERROR(J43/I43,"n/a")</f>
        <v>1.21391780119259</v>
      </c>
      <c r="AF43" s="46" t="n">
        <f aca="false">IFERROR(J43/H43,"n/a")</f>
        <v>0.69961199729014</v>
      </c>
      <c r="AG43" s="56" t="n">
        <v>1.24578270509978</v>
      </c>
      <c r="AH43" s="47" t="s">
        <v>136</v>
      </c>
      <c r="AI43" s="48" t="n">
        <v>0.05</v>
      </c>
      <c r="AJ43" s="49" t="s">
        <v>137</v>
      </c>
    </row>
    <row r="44" customFormat="false" ht="16.5" hidden="false" customHeight="true" outlineLevel="0" collapsed="false">
      <c r="A44" s="86" t="s">
        <v>158</v>
      </c>
      <c r="B44" s="87" t="s">
        <v>159</v>
      </c>
      <c r="C44" s="30" t="n">
        <v>60233</v>
      </c>
      <c r="D44" s="30" t="n">
        <v>49402</v>
      </c>
      <c r="E44" s="30" t="n">
        <v>17514</v>
      </c>
      <c r="F44" s="50" t="s">
        <v>89</v>
      </c>
      <c r="G44" s="50" t="s">
        <v>89</v>
      </c>
      <c r="H44" s="50" t="s">
        <v>89</v>
      </c>
      <c r="I44" s="50" t="s">
        <v>89</v>
      </c>
      <c r="J44" s="31" t="n">
        <v>12261</v>
      </c>
      <c r="K44" s="31" t="n">
        <v>51248</v>
      </c>
      <c r="L44" s="31" t="n">
        <v>80634</v>
      </c>
      <c r="M44" s="31" t="n">
        <v>2782</v>
      </c>
      <c r="N44" s="31" t="n">
        <v>64679</v>
      </c>
      <c r="O44" s="50" t="s">
        <v>89</v>
      </c>
      <c r="P44" s="31" t="n">
        <v>3800</v>
      </c>
      <c r="Q44" s="32" t="n">
        <v>64679</v>
      </c>
      <c r="R44" s="33" t="n">
        <f aca="false">IFERROR(AVERAGEIF(C44:I44,"&gt;0"),0)</f>
        <v>42383</v>
      </c>
      <c r="S44" s="34" t="n">
        <f aca="false">IFERROR(AVERAGEIF(J44:P44,"&gt;0"),0)</f>
        <v>35900.6666666667</v>
      </c>
      <c r="T44" s="80" t="n">
        <f aca="false">S44-R44</f>
        <v>-6482.33333333334</v>
      </c>
      <c r="U44" s="81" t="n">
        <f aca="false">IFERROR(S44/R44,"n/a")</f>
        <v>0.847053456967809</v>
      </c>
      <c r="V44" s="69" t="n">
        <f aca="false">IFERROR(S44/$C$3,0)</f>
        <v>0.000341854104660132</v>
      </c>
      <c r="W44" s="69" t="n">
        <f aca="false">IFERROR(T44/$D$4,0)</f>
        <v>-0.000169151642394162</v>
      </c>
      <c r="X44" s="73" t="n">
        <f aca="false">IFERROR((V44+W44)/2,0)</f>
        <v>8.63512311329851E-005</v>
      </c>
      <c r="Y44" s="82"/>
      <c r="Z44" s="41" t="n">
        <f aca="false">IFERROR(POWER(P44/C44,1/13)-1,"n/a")</f>
        <v>-0.1914844212119</v>
      </c>
      <c r="AA44" s="41" t="n">
        <f aca="false">IFERROR(POWER(P44/J44,1/6)-1,"n/a")</f>
        <v>-0.17736038912929</v>
      </c>
      <c r="AB44" s="57" t="n">
        <f aca="false">IFERROR(AA44-Z44,"n/a")</f>
        <v>0.0141240320826104</v>
      </c>
      <c r="AC44" s="44" t="n">
        <f aca="false">IFERROR(SLOPE(C44:P44,{1,2,3,4,5,6,7,8,9,10,11,12,13,14})/AVERAGEIF(C44:P44,"&gt;0"),"n/a")</f>
        <v>-0.0339891615034939</v>
      </c>
      <c r="AD44" s="44" t="n">
        <f aca="false">IFERROR(SLOPE(J44:P44,{1,2,3,4,5,6,7})/AVERAGEIF(J44:P44,"&gt;0"),"n/a")</f>
        <v>-0.0859904445334614</v>
      </c>
      <c r="AE44" s="46" t="str">
        <f aca="false">IFERROR(J44/I44,"n/a")</f>
        <v>n/a</v>
      </c>
      <c r="AF44" s="46" t="str">
        <f aca="false">IFERROR(J44/H44,"n/a")</f>
        <v>n/a</v>
      </c>
      <c r="AG44" s="46" t="n">
        <v>0.953728807264489</v>
      </c>
      <c r="AH44" s="47" t="s">
        <v>90</v>
      </c>
      <c r="AI44" s="48" t="n">
        <v>0.025</v>
      </c>
      <c r="AJ44" s="49" t="s">
        <v>91</v>
      </c>
    </row>
    <row r="45" customFormat="false" ht="16.5" hidden="false" customHeight="true" outlineLevel="0" collapsed="false">
      <c r="A45" s="86" t="s">
        <v>160</v>
      </c>
      <c r="B45" s="87" t="s">
        <v>161</v>
      </c>
      <c r="C45" s="30" t="n">
        <v>61443</v>
      </c>
      <c r="D45" s="30" t="n">
        <v>27911</v>
      </c>
      <c r="E45" s="30" t="n">
        <v>37670</v>
      </c>
      <c r="F45" s="30" t="n">
        <v>38538</v>
      </c>
      <c r="G45" s="30" t="n">
        <v>45718</v>
      </c>
      <c r="H45" s="30" t="n">
        <v>41704</v>
      </c>
      <c r="I45" s="30" t="n">
        <v>50679</v>
      </c>
      <c r="J45" s="31" t="n">
        <v>53739</v>
      </c>
      <c r="K45" s="31" t="n">
        <v>41151</v>
      </c>
      <c r="L45" s="31" t="n">
        <v>26627</v>
      </c>
      <c r="M45" s="31" t="n">
        <v>14273</v>
      </c>
      <c r="N45" s="31" t="n">
        <v>38062</v>
      </c>
      <c r="O45" s="31" t="n">
        <v>18194</v>
      </c>
      <c r="P45" s="31" t="n">
        <v>10984</v>
      </c>
      <c r="Q45" s="32" t="n">
        <v>38062</v>
      </c>
      <c r="R45" s="33" t="n">
        <f aca="false">IFERROR(AVERAGEIF(C45:I45,"&gt;0"),0)</f>
        <v>43380.4285714286</v>
      </c>
      <c r="S45" s="34" t="n">
        <f aca="false">IFERROR(AVERAGEIF(J45:P45,"&gt;0"),0)</f>
        <v>29004.2857142857</v>
      </c>
      <c r="T45" s="80" t="n">
        <f aca="false">S45-R45</f>
        <v>-14376.1428571429</v>
      </c>
      <c r="U45" s="81" t="n">
        <f aca="false">IFERROR(S45/R45,"n/a")</f>
        <v>0.668603023746719</v>
      </c>
      <c r="V45" s="69" t="n">
        <f aca="false">IFERROR(S45/$C$3,0)</f>
        <v>0.000276185236787538</v>
      </c>
      <c r="W45" s="69" t="n">
        <f aca="false">IFERROR(T45/$D$4,0)</f>
        <v>-0.000375134700814338</v>
      </c>
      <c r="X45" s="73" t="n">
        <f aca="false">IFERROR((V45+W45)/2,0)</f>
        <v>-4.94747320134E-005</v>
      </c>
      <c r="Y45" s="82"/>
      <c r="Z45" s="41" t="n">
        <f aca="false">IFERROR(POWER(P45/C45,1/13)-1,"n/a")</f>
        <v>-0.124041157738922</v>
      </c>
      <c r="AA45" s="41" t="n">
        <f aca="false">IFERROR(POWER(P45/J45,1/6)-1,"n/a")</f>
        <v>-0.232499811874303</v>
      </c>
      <c r="AB45" s="42" t="n">
        <f aca="false">IFERROR(AA45-Z45,"n/a")</f>
        <v>-0.108458654135382</v>
      </c>
      <c r="AC45" s="44" t="n">
        <f aca="false">IFERROR(SLOPE(C45:P45,{1,2,3,4,5,6,7,8,9,10,11,12,13,14})/AVERAGEIF(C45:P45,"&gt;0"),"n/a")</f>
        <v>-0.0621365478626187</v>
      </c>
      <c r="AD45" s="44" t="n">
        <f aca="false">IFERROR(SLOPE(J45:P45,{1,2,3,4,5,6,7})/AVERAGEIF(J45:P45,"&gt;0"),"n/a")</f>
        <v>-0.200394030438851</v>
      </c>
      <c r="AE45" s="45" t="n">
        <f aca="false">IFERROR(J45/I45,"n/a")</f>
        <v>1.06038003906944</v>
      </c>
      <c r="AF45" s="46" t="n">
        <f aca="false">IFERROR(J45/H45,"n/a")</f>
        <v>1.28858143103779</v>
      </c>
      <c r="AG45" s="72" t="n">
        <v>0.772759362327406</v>
      </c>
      <c r="AH45" s="74" t="s">
        <v>162</v>
      </c>
      <c r="AI45" s="75" t="s">
        <v>117</v>
      </c>
      <c r="AJ45" s="75" t="s">
        <v>89</v>
      </c>
    </row>
    <row r="46" customFormat="false" ht="16.5" hidden="false" customHeight="true" outlineLevel="0" collapsed="false">
      <c r="A46" s="86" t="s">
        <v>163</v>
      </c>
      <c r="B46" s="87" t="s">
        <v>164</v>
      </c>
      <c r="C46" s="50" t="s">
        <v>89</v>
      </c>
      <c r="D46" s="50" t="s">
        <v>89</v>
      </c>
      <c r="E46" s="30" t="n">
        <v>607</v>
      </c>
      <c r="F46" s="30" t="n">
        <v>47814</v>
      </c>
      <c r="G46" s="30" t="n">
        <v>128442</v>
      </c>
      <c r="H46" s="30" t="n">
        <v>125443</v>
      </c>
      <c r="I46" s="30" t="n">
        <v>60114</v>
      </c>
      <c r="J46" s="31" t="n">
        <v>6402</v>
      </c>
      <c r="K46" s="31" t="n">
        <v>6127</v>
      </c>
      <c r="L46" s="31" t="n">
        <v>1443</v>
      </c>
      <c r="M46" s="50" t="s">
        <v>89</v>
      </c>
      <c r="N46" s="31" t="n">
        <v>53403</v>
      </c>
      <c r="O46" s="50" t="s">
        <v>89</v>
      </c>
      <c r="P46" s="50" t="s">
        <v>89</v>
      </c>
      <c r="Q46" s="32" t="n">
        <v>53403</v>
      </c>
      <c r="R46" s="33" t="n">
        <f aca="false">IFERROR(AVERAGEIF(C46:I46,"&gt;0"),0)</f>
        <v>72484</v>
      </c>
      <c r="S46" s="34" t="n">
        <f aca="false">IFERROR(AVERAGEIF(J46:P46,"&gt;0"),0)</f>
        <v>16843.75</v>
      </c>
      <c r="T46" s="80" t="n">
        <f aca="false">S46-R46</f>
        <v>-55640.25</v>
      </c>
      <c r="U46" s="81" t="n">
        <f aca="false">IFERROR(S46/R46,"n/a")</f>
        <v>0.232378869819546</v>
      </c>
      <c r="V46" s="69" t="n">
        <f aca="false">IFERROR(S46/$C$3,0)</f>
        <v>0.000160389920578144</v>
      </c>
      <c r="W46" s="69" t="n">
        <f aca="false">IFERROR(T46/$D$4,0)</f>
        <v>-0.00145189072927265</v>
      </c>
      <c r="X46" s="73" t="n">
        <f aca="false">IFERROR((V46+W46)/2,0)</f>
        <v>-0.000645750404347253</v>
      </c>
      <c r="Y46" s="82"/>
      <c r="Z46" s="59" t="str">
        <f aca="false">IFERROR(POWER(P46/C46,1/13)-1,"n/a")</f>
        <v>n/a</v>
      </c>
      <c r="AA46" s="59" t="str">
        <f aca="false">IFERROR(POWER(P46/J46,1/6)-1,"n/a")</f>
        <v>n/a</v>
      </c>
      <c r="AB46" s="57" t="str">
        <f aca="false">IFERROR(AA46-Z46,"n/a")</f>
        <v>n/a</v>
      </c>
      <c r="AC46" s="44" t="n">
        <f aca="false">IFERROR(SLOPE(C46:P46,{1,2,3,4,5,6,7,8,9,10,11,12,13,14})/AVERAGEIF(C46:P46,"&gt;0"),"n/a")</f>
        <v>-0.0869210790290495</v>
      </c>
      <c r="AD46" s="43" t="n">
        <f aca="false">IFERROR(SLOPE(J46:P46,{1,2,3,4,5,6,7})/AVERAGEIF(J46:P46,"&gt;0"),"n/a")</f>
        <v>0.710522130930294</v>
      </c>
      <c r="AE46" s="46" t="n">
        <f aca="false">IFERROR(J46/I46,"n/a")</f>
        <v>0.106497654456533</v>
      </c>
      <c r="AF46" s="46" t="n">
        <f aca="false">IFERROR(J46/H46,"n/a")</f>
        <v>0.0510351314939853</v>
      </c>
      <c r="AG46" s="56" t="n">
        <v>3.17049350649351</v>
      </c>
      <c r="AH46" s="47" t="s">
        <v>85</v>
      </c>
      <c r="AI46" s="48" t="n">
        <v>0.04</v>
      </c>
      <c r="AJ46" s="49" t="s">
        <v>86</v>
      </c>
    </row>
    <row r="47" customFormat="false" ht="16.5" hidden="false" customHeight="true" outlineLevel="0" collapsed="false">
      <c r="A47" s="86" t="s">
        <v>165</v>
      </c>
      <c r="B47" s="87" t="s">
        <v>166</v>
      </c>
      <c r="C47" s="50" t="s">
        <v>89</v>
      </c>
      <c r="D47" s="50" t="s">
        <v>89</v>
      </c>
      <c r="E47" s="50" t="s">
        <v>89</v>
      </c>
      <c r="F47" s="50" t="s">
        <v>89</v>
      </c>
      <c r="G47" s="50" t="s">
        <v>89</v>
      </c>
      <c r="H47" s="50" t="s">
        <v>89</v>
      </c>
      <c r="I47" s="50" t="s">
        <v>89</v>
      </c>
      <c r="J47" s="50" t="s">
        <v>89</v>
      </c>
      <c r="K47" s="50" t="s">
        <v>89</v>
      </c>
      <c r="L47" s="31" t="n">
        <v>17480</v>
      </c>
      <c r="M47" s="31" t="n">
        <v>15000</v>
      </c>
      <c r="N47" s="50" t="s">
        <v>89</v>
      </c>
      <c r="O47" s="50" t="s">
        <v>89</v>
      </c>
      <c r="P47" s="50" t="s">
        <v>89</v>
      </c>
      <c r="Q47" s="50" t="s">
        <v>89</v>
      </c>
      <c r="R47" s="33" t="n">
        <f aca="false">IFERROR(AVERAGEIF(C47:I47,"&gt;0"),0)</f>
        <v>0</v>
      </c>
      <c r="S47" s="34" t="n">
        <f aca="false">IFERROR(AVERAGEIF(J47:P47,"&gt;0"),0)</f>
        <v>16240</v>
      </c>
      <c r="T47" s="89" t="n">
        <f aca="false">S47-R47</f>
        <v>16240</v>
      </c>
      <c r="U47" s="81" t="str">
        <f aca="false">IFERROR(S47/R47,"n/a")</f>
        <v>n/a</v>
      </c>
      <c r="V47" s="69" t="n">
        <f aca="false">IFERROR(S47/$C$3,0)</f>
        <v>0.000154640879269109</v>
      </c>
      <c r="W47" s="69" t="n">
        <f aca="false">IFERROR(T47/$D$4,0)</f>
        <v>0.000423770659610405</v>
      </c>
      <c r="X47" s="73" t="n">
        <f aca="false">IFERROR((V47+W47)/2,0)</f>
        <v>0.000289205769439757</v>
      </c>
      <c r="Y47" s="82"/>
      <c r="Z47" s="41" t="str">
        <f aca="false">IFERROR(POWER(P47/C47,1/13)-1,"n/a")</f>
        <v>n/a</v>
      </c>
      <c r="AA47" s="41" t="str">
        <f aca="false">IFERROR(POWER(P47/J47,1/6)-1,"n/a")</f>
        <v>n/a</v>
      </c>
      <c r="AB47" s="57" t="str">
        <f aca="false">IFERROR(AA47-Z47,"n/a")</f>
        <v>n/a</v>
      </c>
      <c r="AC47" s="90" t="n">
        <f aca="false">IFERROR(SLOPE(C47:P47,{1,2,3,4,5,6,7,8,9,10,11,12,13,14})/AVERAGEIF(C47:P47,"&gt;0"),"n/a")</f>
        <v>-0.152709359605911</v>
      </c>
      <c r="AD47" s="90" t="n">
        <f aca="false">IFERROR(SLOPE(J47:P47,{1,2,3,4,5,6,7})/AVERAGEIF(J47:P47,"&gt;0"),"n/a")</f>
        <v>-0.152709359605911</v>
      </c>
      <c r="AE47" s="46" t="str">
        <f aca="false">IFERROR(J47/I47,"n/a")</f>
        <v>n/a</v>
      </c>
      <c r="AF47" s="46" t="str">
        <f aca="false">IFERROR(J47/H47,"n/a")</f>
        <v>n/a</v>
      </c>
      <c r="AG47" s="91" t="s">
        <v>167</v>
      </c>
      <c r="AH47" s="47" t="s">
        <v>168</v>
      </c>
      <c r="AI47" s="48" t="n">
        <v>0.015</v>
      </c>
      <c r="AJ47" s="49" t="s">
        <v>169</v>
      </c>
    </row>
    <row r="48" customFormat="false" ht="16.5" hidden="false" customHeight="true" outlineLevel="0" collapsed="false">
      <c r="A48" s="86" t="s">
        <v>170</v>
      </c>
      <c r="B48" s="87" t="s">
        <v>171</v>
      </c>
      <c r="C48" s="50" t="s">
        <v>89</v>
      </c>
      <c r="D48" s="50" t="s">
        <v>89</v>
      </c>
      <c r="E48" s="50" t="s">
        <v>89</v>
      </c>
      <c r="F48" s="50" t="s">
        <v>89</v>
      </c>
      <c r="G48" s="50" t="s">
        <v>89</v>
      </c>
      <c r="H48" s="50" t="s">
        <v>89</v>
      </c>
      <c r="I48" s="50" t="s">
        <v>89</v>
      </c>
      <c r="J48" s="50" t="s">
        <v>89</v>
      </c>
      <c r="K48" s="50" t="s">
        <v>89</v>
      </c>
      <c r="L48" s="31" t="n">
        <v>191</v>
      </c>
      <c r="M48" s="31" t="n">
        <v>1796</v>
      </c>
      <c r="N48" s="31" t="n">
        <v>27500</v>
      </c>
      <c r="O48" s="31" t="n">
        <v>27500</v>
      </c>
      <c r="P48" s="31" t="n">
        <v>22486</v>
      </c>
      <c r="Q48" s="32" t="n">
        <v>27500</v>
      </c>
      <c r="R48" s="33" t="n">
        <f aca="false">IFERROR(AVERAGEIF(C48:I48,"&gt;0"),0)</f>
        <v>0</v>
      </c>
      <c r="S48" s="34" t="n">
        <f aca="false">IFERROR(AVERAGEIF(J48:P48,"&gt;0"),0)</f>
        <v>15894.6</v>
      </c>
      <c r="T48" s="89" t="n">
        <f aca="false">S48-R48</f>
        <v>15894.6</v>
      </c>
      <c r="U48" s="81" t="str">
        <f aca="false">IFERROR(S48/R48,"n/a")</f>
        <v>n/a</v>
      </c>
      <c r="V48" s="69" t="n">
        <f aca="false">IFERROR(S48/$C$3,0)</f>
        <v>0.000151351903918152</v>
      </c>
      <c r="W48" s="69" t="n">
        <f aca="false">IFERROR(T48/$D$4,0)</f>
        <v>0.000414757704817952</v>
      </c>
      <c r="X48" s="73" t="n">
        <f aca="false">IFERROR((V48+W48)/2,0)</f>
        <v>0.000283054804368052</v>
      </c>
      <c r="Y48" s="82"/>
      <c r="Z48" s="59" t="str">
        <f aca="false">IFERROR(POWER(P48/C48,1/13)-1,"n/a")</f>
        <v>n/a</v>
      </c>
      <c r="AA48" s="59" t="str">
        <f aca="false">IFERROR(POWER(P48/J48,1/6)-1,"n/a")</f>
        <v>n/a</v>
      </c>
      <c r="AB48" s="57" t="str">
        <f aca="false">IFERROR(AA48-Z48,"n/a")</f>
        <v>n/a</v>
      </c>
      <c r="AC48" s="43" t="n">
        <f aca="false">IFERROR(SLOPE(C48:P48,{1,2,3,4,5,6,7,8,9,10,11,12,13,14})/AVERAGEIF(C48:P48,"&gt;0"),"n/a")</f>
        <v>0.442250827325003</v>
      </c>
      <c r="AD48" s="43" t="n">
        <f aca="false">IFERROR(SLOPE(J48:P48,{1,2,3,4,5,6,7})/AVERAGEIF(J48:P48,"&gt;0"),"n/a")</f>
        <v>0.442250827325003</v>
      </c>
      <c r="AE48" s="46" t="str">
        <f aca="false">IFERROR(J48/I48,"n/a")</f>
        <v>n/a</v>
      </c>
      <c r="AF48" s="46" t="str">
        <f aca="false">IFERROR(J48/H48,"n/a")</f>
        <v>n/a</v>
      </c>
      <c r="AG48" s="56" t="n">
        <v>1.62499632999048</v>
      </c>
      <c r="AH48" s="47" t="s">
        <v>172</v>
      </c>
      <c r="AI48" s="60" t="n">
        <v>0.15</v>
      </c>
      <c r="AJ48" s="61" t="s">
        <v>173</v>
      </c>
    </row>
    <row r="49" customFormat="false" ht="16.5" hidden="false" customHeight="true" outlineLevel="0" collapsed="false">
      <c r="A49" s="86" t="s">
        <v>174</v>
      </c>
      <c r="B49" s="87" t="s">
        <v>175</v>
      </c>
      <c r="C49" s="50" t="s">
        <v>89</v>
      </c>
      <c r="D49" s="50" t="s">
        <v>89</v>
      </c>
      <c r="E49" s="50" t="s">
        <v>89</v>
      </c>
      <c r="F49" s="50" t="s">
        <v>89</v>
      </c>
      <c r="G49" s="50" t="s">
        <v>89</v>
      </c>
      <c r="H49" s="50" t="s">
        <v>89</v>
      </c>
      <c r="I49" s="50" t="s">
        <v>89</v>
      </c>
      <c r="J49" s="50" t="s">
        <v>89</v>
      </c>
      <c r="K49" s="50" t="s">
        <v>89</v>
      </c>
      <c r="L49" s="50" t="s">
        <v>89</v>
      </c>
      <c r="M49" s="50" t="s">
        <v>89</v>
      </c>
      <c r="N49" s="50" t="s">
        <v>89</v>
      </c>
      <c r="O49" s="50" t="s">
        <v>89</v>
      </c>
      <c r="P49" s="31" t="n">
        <v>8190</v>
      </c>
      <c r="Q49" s="50" t="s">
        <v>89</v>
      </c>
      <c r="R49" s="33" t="n">
        <f aca="false">IFERROR(AVERAGEIF(C49:I49,"&gt;0"),0)</f>
        <v>0</v>
      </c>
      <c r="S49" s="34" t="n">
        <f aca="false">IFERROR(AVERAGEIF(J49:P49,"&gt;0"),0)</f>
        <v>8190</v>
      </c>
      <c r="T49" s="89" t="n">
        <f aca="false">S49-R49</f>
        <v>8190</v>
      </c>
      <c r="U49" s="81" t="str">
        <f aca="false">IFERROR(S49/R49,"n/a")</f>
        <v>n/a</v>
      </c>
      <c r="V49" s="69" t="n">
        <f aca="false">IFERROR(S49/$C$3,0)</f>
        <v>7.79869951486457E-005</v>
      </c>
      <c r="W49" s="69" t="n">
        <f aca="false">IFERROR(T49/$D$4,0)</f>
        <v>0.000213711927475937</v>
      </c>
      <c r="X49" s="73" t="n">
        <f aca="false">IFERROR((V49+W49)/2,0)</f>
        <v>0.000145849461312291</v>
      </c>
      <c r="Y49" s="82"/>
      <c r="Z49" s="40" t="str">
        <f aca="false">IFERROR(POWER(P49/C49,1/13)-1,"n/a")</f>
        <v>n/a</v>
      </c>
      <c r="AA49" s="40" t="str">
        <f aca="false">IFERROR(POWER(P49/J49,1/6)-1,"n/a")</f>
        <v>n/a</v>
      </c>
      <c r="AB49" s="92" t="str">
        <f aca="false">IFERROR(AA49-Z49,"n/a")</f>
        <v>n/a</v>
      </c>
      <c r="AC49" s="90" t="str">
        <f aca="false">IFERROR(SLOPE(C49:P49,{1,2,3,4,5,6,7,8,9,10,11,12,13,14})/AVERAGEIF(C49:P49,"&gt;0"),"n/a")</f>
        <v>n/a</v>
      </c>
      <c r="AD49" s="90" t="str">
        <f aca="false">IFERROR(SLOPE(J49:P49,{1,2,3,4,5,6,7})/AVERAGEIF(J49:P49,"&gt;0"),"n/a")</f>
        <v>n/a</v>
      </c>
      <c r="AE49" s="46" t="str">
        <f aca="false">IFERROR(J49/I49,"n/a")</f>
        <v>n/a</v>
      </c>
      <c r="AF49" s="46" t="str">
        <f aca="false">IFERROR(J49/H49,"n/a")</f>
        <v>n/a</v>
      </c>
      <c r="AG49" s="56" t="n">
        <v>1</v>
      </c>
      <c r="AH49" s="47" t="s">
        <v>90</v>
      </c>
      <c r="AI49" s="48" t="n">
        <v>0.025</v>
      </c>
      <c r="AJ49" s="49" t="s">
        <v>91</v>
      </c>
    </row>
    <row r="50" customFormat="false" ht="16.5" hidden="false" customHeight="true" outlineLevel="0" collapsed="false">
      <c r="A50" s="86" t="s">
        <v>176</v>
      </c>
      <c r="B50" s="87" t="s">
        <v>177</v>
      </c>
      <c r="C50" s="50" t="s">
        <v>89</v>
      </c>
      <c r="D50" s="50" t="s">
        <v>89</v>
      </c>
      <c r="E50" s="50" t="s">
        <v>89</v>
      </c>
      <c r="F50" s="50" t="s">
        <v>89</v>
      </c>
      <c r="G50" s="50" t="s">
        <v>89</v>
      </c>
      <c r="H50" s="50" t="s">
        <v>89</v>
      </c>
      <c r="I50" s="50" t="s">
        <v>89</v>
      </c>
      <c r="J50" s="50" t="s">
        <v>89</v>
      </c>
      <c r="K50" s="50" t="s">
        <v>89</v>
      </c>
      <c r="L50" s="50" t="s">
        <v>89</v>
      </c>
      <c r="M50" s="50" t="s">
        <v>89</v>
      </c>
      <c r="N50" s="50" t="s">
        <v>89</v>
      </c>
      <c r="O50" s="31" t="n">
        <v>7920</v>
      </c>
      <c r="P50" s="50" t="s">
        <v>89</v>
      </c>
      <c r="Q50" s="50" t="s">
        <v>89</v>
      </c>
      <c r="R50" s="33" t="n">
        <f aca="false">IFERROR(AVERAGEIF(C50:I50,"&gt;0"),0)</f>
        <v>0</v>
      </c>
      <c r="S50" s="34" t="n">
        <f aca="false">IFERROR(AVERAGEIF(J50:P50,"&gt;0"),0)</f>
        <v>7920</v>
      </c>
      <c r="T50" s="89" t="n">
        <f aca="false">S50-R50</f>
        <v>7920</v>
      </c>
      <c r="U50" s="81" t="str">
        <f aca="false">IFERROR(S50/R50,"n/a")</f>
        <v>n/a</v>
      </c>
      <c r="V50" s="69" t="n">
        <f aca="false">IFERROR(S50/$C$3,0)</f>
        <v>7.54159953085804E-005</v>
      </c>
      <c r="W50" s="69" t="n">
        <f aca="false">IFERROR(T50/$D$4,0)</f>
        <v>0.00020666647931739</v>
      </c>
      <c r="X50" s="73" t="n">
        <f aca="false">IFERROR((V50+W50)/2,0)</f>
        <v>0.000141041237312985</v>
      </c>
      <c r="Y50" s="82"/>
      <c r="Z50" s="40" t="str">
        <f aca="false">IFERROR(POWER(P50/C50,1/13)-1,"n/a")</f>
        <v>n/a</v>
      </c>
      <c r="AA50" s="40" t="str">
        <f aca="false">IFERROR(POWER(P50/J50,1/6)-1,"n/a")</f>
        <v>n/a</v>
      </c>
      <c r="AB50" s="92" t="str">
        <f aca="false">IFERROR(AA50-Z50,"n/a")</f>
        <v>n/a</v>
      </c>
      <c r="AC50" s="90" t="str">
        <f aca="false">IFERROR(SLOPE(C50:P50,{1,2,3,4,5,6,7,8,9,10,11,12,13,14})/AVERAGEIF(C50:P50,"&gt;0"),"n/a")</f>
        <v>n/a</v>
      </c>
      <c r="AD50" s="90" t="str">
        <f aca="false">IFERROR(SLOPE(J50:P50,{1,2,3,4,5,6,7})/AVERAGEIF(J50:P50,"&gt;0"),"n/a")</f>
        <v>n/a</v>
      </c>
      <c r="AE50" s="46" t="str">
        <f aca="false">IFERROR(J50/I50,"n/a")</f>
        <v>n/a</v>
      </c>
      <c r="AF50" s="46" t="str">
        <f aca="false">IFERROR(J50/H50,"n/a")</f>
        <v>n/a</v>
      </c>
      <c r="AG50" s="56" t="n">
        <v>1</v>
      </c>
      <c r="AH50" s="47" t="s">
        <v>178</v>
      </c>
      <c r="AI50" s="60" t="n">
        <v>3.89</v>
      </c>
      <c r="AJ50" s="61" t="s">
        <v>179</v>
      </c>
    </row>
    <row r="51" customFormat="false" ht="16.5" hidden="false" customHeight="true" outlineLevel="0" collapsed="false">
      <c r="A51" s="86" t="s">
        <v>180</v>
      </c>
      <c r="B51" s="87" t="s">
        <v>181</v>
      </c>
      <c r="C51" s="30" t="n">
        <v>41444</v>
      </c>
      <c r="D51" s="30" t="n">
        <v>6220</v>
      </c>
      <c r="E51" s="30" t="n">
        <v>11687</v>
      </c>
      <c r="F51" s="30" t="n">
        <v>15554</v>
      </c>
      <c r="G51" s="30" t="n">
        <v>8499</v>
      </c>
      <c r="H51" s="30" t="n">
        <v>7316</v>
      </c>
      <c r="I51" s="30" t="n">
        <v>13048</v>
      </c>
      <c r="J51" s="31" t="n">
        <v>7281</v>
      </c>
      <c r="K51" s="31" t="n">
        <v>3675</v>
      </c>
      <c r="L51" s="31" t="n">
        <v>5593</v>
      </c>
      <c r="M51" s="31" t="n">
        <v>3782</v>
      </c>
      <c r="N51" s="31" t="n">
        <v>13875</v>
      </c>
      <c r="O51" s="31" t="n">
        <v>5086</v>
      </c>
      <c r="P51" s="31" t="n">
        <v>5722</v>
      </c>
      <c r="Q51" s="32" t="n">
        <v>13875</v>
      </c>
      <c r="R51" s="33" t="n">
        <f aca="false">IFERROR(AVERAGEIF(C51:I51,"&gt;0"),0)</f>
        <v>14824</v>
      </c>
      <c r="S51" s="34" t="n">
        <f aca="false">IFERROR(AVERAGEIF(J51:P51,"&gt;0"),0)</f>
        <v>6430.57142857143</v>
      </c>
      <c r="T51" s="80" t="n">
        <f aca="false">S51-R51</f>
        <v>-8393.42857142857</v>
      </c>
      <c r="U51" s="81" t="n">
        <f aca="false">IFERROR(S51/R51,"n/a")</f>
        <v>0.433794618764937</v>
      </c>
      <c r="V51" s="69" t="n">
        <f aca="false">IFERROR(S51/$C$3,0)</f>
        <v>6.1233326349575E-005</v>
      </c>
      <c r="W51" s="69" t="n">
        <f aca="false">IFERROR(T51/$D$4,0)</f>
        <v>-0.000219020243972112</v>
      </c>
      <c r="X51" s="73" t="n">
        <f aca="false">IFERROR((V51+W51)/2,0)</f>
        <v>-7.88934588112687E-005</v>
      </c>
      <c r="Y51" s="82"/>
      <c r="Z51" s="41" t="n">
        <f aca="false">IFERROR(POWER(P51/C51,1/13)-1,"n/a")</f>
        <v>-0.141277615830929</v>
      </c>
      <c r="AA51" s="41" t="n">
        <f aca="false">IFERROR(POWER(P51/J51,1/6)-1,"n/a")</f>
        <v>-0.0393626451061241</v>
      </c>
      <c r="AB51" s="70" t="n">
        <f aca="false">IFERROR(AA51-Z51,"n/a")</f>
        <v>0.101914970724805</v>
      </c>
      <c r="AC51" s="44" t="n">
        <f aca="false">IFERROR(SLOPE(C51:P51,{1,2,3,4,5,6,7,8,9,10,11,12,13,14})/AVERAGEIF(C51:P51,"&gt;0"),"n/a")</f>
        <v>-0.118044056197865</v>
      </c>
      <c r="AD51" s="43" t="n">
        <f aca="false">IFERROR(SLOPE(J51:P51,{1,2,3,4,5,6,7})/AVERAGEIF(J51:P51,"&gt;0"),"n/a")</f>
        <v>0.0356944506153641</v>
      </c>
      <c r="AE51" s="46" t="n">
        <f aca="false">IFERROR(J51/I51,"n/a")</f>
        <v>0.55801655426119</v>
      </c>
      <c r="AF51" s="46" t="n">
        <f aca="false">IFERROR(J51/H51,"n/a")</f>
        <v>0.995215965008201</v>
      </c>
      <c r="AG51" s="56" t="n">
        <v>1.27946120466225</v>
      </c>
      <c r="AH51" s="47" t="s">
        <v>90</v>
      </c>
      <c r="AI51" s="48" t="n">
        <v>0.025</v>
      </c>
      <c r="AJ51" s="49" t="s">
        <v>91</v>
      </c>
    </row>
    <row r="52" customFormat="false" ht="16.5" hidden="false" customHeight="true" outlineLevel="0" collapsed="false">
      <c r="A52" s="86" t="s">
        <v>182</v>
      </c>
      <c r="B52" s="87" t="s">
        <v>183</v>
      </c>
      <c r="C52" s="30" t="n">
        <v>938</v>
      </c>
      <c r="D52" s="30" t="n">
        <v>3952</v>
      </c>
      <c r="E52" s="30" t="n">
        <v>3063</v>
      </c>
      <c r="F52" s="50" t="s">
        <v>89</v>
      </c>
      <c r="G52" s="30" t="n">
        <v>425</v>
      </c>
      <c r="H52" s="30" t="n">
        <v>10156</v>
      </c>
      <c r="I52" s="30" t="n">
        <v>14161</v>
      </c>
      <c r="J52" s="31" t="n">
        <v>5827</v>
      </c>
      <c r="K52" s="31" t="n">
        <v>3453</v>
      </c>
      <c r="L52" s="31" t="n">
        <v>4298</v>
      </c>
      <c r="M52" s="31" t="n">
        <v>3533</v>
      </c>
      <c r="N52" s="31" t="n">
        <v>6994</v>
      </c>
      <c r="O52" s="31" t="n">
        <v>450</v>
      </c>
      <c r="P52" s="31" t="n">
        <v>339</v>
      </c>
      <c r="Q52" s="32" t="n">
        <v>6994</v>
      </c>
      <c r="R52" s="33" t="n">
        <f aca="false">IFERROR(AVERAGEIF(C52:I52,"&gt;0"),0)</f>
        <v>5449.16666666667</v>
      </c>
      <c r="S52" s="34" t="n">
        <f aca="false">IFERROR(AVERAGEIF(J52:P52,"&gt;0"),0)</f>
        <v>3556.28571428571</v>
      </c>
      <c r="T52" s="80" t="n">
        <f aca="false">S52-R52</f>
        <v>-1892.88095238095</v>
      </c>
      <c r="U52" s="81" t="n">
        <f aca="false">IFERROR(S52/R52,"n/a")</f>
        <v>0.652629279269438</v>
      </c>
      <c r="V52" s="69" t="n">
        <f aca="false">IFERROR(S52/$C$3,0)</f>
        <v>3.38637407505736E-005</v>
      </c>
      <c r="W52" s="69" t="n">
        <f aca="false">IFERROR(T52/$D$4,0)</f>
        <v>-4.93933134085251E-005</v>
      </c>
      <c r="X52" s="73" t="n">
        <f aca="false">IFERROR((V52+W52)/2,0)</f>
        <v>-7.76478632897575E-006</v>
      </c>
      <c r="Y52" s="82"/>
      <c r="Z52" s="41" t="n">
        <f aca="false">IFERROR(POWER(P52/C52,1/13)-1,"n/a")</f>
        <v>-0.0753023403732395</v>
      </c>
      <c r="AA52" s="41" t="n">
        <f aca="false">IFERROR(POWER(P52/J52,1/6)-1,"n/a")</f>
        <v>-0.377519458620801</v>
      </c>
      <c r="AB52" s="42" t="n">
        <f aca="false">IFERROR(AA52-Z52,"n/a")</f>
        <v>-0.302217118247561</v>
      </c>
      <c r="AC52" s="44" t="n">
        <f aca="false">IFERROR(SLOPE(C52:P52,{1,2,3,4,5,6,7,8,9,10,11,12,13,14})/AVERAGEIF(C52:P52,"&gt;0"),"n/a")</f>
        <v>-0.013844210322879</v>
      </c>
      <c r="AD52" s="44" t="n">
        <f aca="false">IFERROR(SLOPE(J52:P52,{1,2,3,4,5,6,7})/AVERAGEIF(J52:P52,"&gt;0"),"n/a")</f>
        <v>-0.198581987627541</v>
      </c>
      <c r="AE52" s="46" t="n">
        <f aca="false">IFERROR(J52/I52,"n/a")</f>
        <v>0.411482239954805</v>
      </c>
      <c r="AF52" s="46" t="n">
        <f aca="false">IFERROR(J52/H52,"n/a")</f>
        <v>0.573749507680189</v>
      </c>
      <c r="AG52" s="72" t="n">
        <v>0.729506440641654</v>
      </c>
      <c r="AH52" s="47" t="s">
        <v>136</v>
      </c>
      <c r="AI52" s="48" t="n">
        <v>0.05</v>
      </c>
      <c r="AJ52" s="49" t="s">
        <v>137</v>
      </c>
    </row>
    <row r="53" customFormat="false" ht="16.5" hidden="false" customHeight="true" outlineLevel="0" collapsed="false">
      <c r="A53" s="86" t="s">
        <v>184</v>
      </c>
      <c r="B53" s="87" t="s">
        <v>185</v>
      </c>
      <c r="C53" s="50" t="s">
        <v>89</v>
      </c>
      <c r="D53" s="50" t="s">
        <v>89</v>
      </c>
      <c r="E53" s="50" t="s">
        <v>89</v>
      </c>
      <c r="F53" s="50" t="s">
        <v>89</v>
      </c>
      <c r="G53" s="50" t="s">
        <v>89</v>
      </c>
      <c r="H53" s="50" t="s">
        <v>89</v>
      </c>
      <c r="I53" s="50" t="s">
        <v>89</v>
      </c>
      <c r="J53" s="50" t="s">
        <v>89</v>
      </c>
      <c r="K53" s="50" t="s">
        <v>89</v>
      </c>
      <c r="L53" s="31" t="n">
        <v>1919</v>
      </c>
      <c r="M53" s="31" t="n">
        <v>5149</v>
      </c>
      <c r="N53" s="50" t="s">
        <v>89</v>
      </c>
      <c r="O53" s="50" t="s">
        <v>89</v>
      </c>
      <c r="P53" s="50" t="s">
        <v>89</v>
      </c>
      <c r="Q53" s="50" t="s">
        <v>89</v>
      </c>
      <c r="R53" s="33" t="n">
        <f aca="false">IFERROR(AVERAGEIF(C53:I53,"&gt;0"),0)</f>
        <v>0</v>
      </c>
      <c r="S53" s="34" t="n">
        <f aca="false">IFERROR(AVERAGEIF(J53:P53,"&gt;0"),0)</f>
        <v>3534</v>
      </c>
      <c r="T53" s="89" t="n">
        <f aca="false">S53-R53</f>
        <v>3534</v>
      </c>
      <c r="U53" s="81" t="str">
        <f aca="false">IFERROR(S53/R53,"n/a")</f>
        <v>n/a</v>
      </c>
      <c r="V53" s="69" t="n">
        <f aca="false">IFERROR(S53/$C$3,0)</f>
        <v>3.36515312399651E-005</v>
      </c>
      <c r="W53" s="69" t="n">
        <f aca="false">IFERROR(T53/$D$4,0)</f>
        <v>9.22170881196534E-005</v>
      </c>
      <c r="X53" s="73" t="n">
        <f aca="false">IFERROR((V53+W53)/2,0)</f>
        <v>6.29343096798092E-005</v>
      </c>
      <c r="Y53" s="82"/>
      <c r="Z53" s="59" t="str">
        <f aca="false">IFERROR(POWER(P53/C53,1/13)-1,"n/a")</f>
        <v>n/a</v>
      </c>
      <c r="AA53" s="59" t="str">
        <f aca="false">IFERROR(POWER(P53/J53,1/6)-1,"n/a")</f>
        <v>n/a</v>
      </c>
      <c r="AB53" s="57" t="str">
        <f aca="false">IFERROR(AA53-Z53,"n/a")</f>
        <v>n/a</v>
      </c>
      <c r="AC53" s="90" t="n">
        <f aca="false">IFERROR(SLOPE(C53:P53,{1,2,3,4,5,6,7,8,9,10,11,12,13,14})/AVERAGEIF(C53:P53,"&gt;0"),"n/a")</f>
        <v>0.913978494623656</v>
      </c>
      <c r="AD53" s="90" t="n">
        <f aca="false">IFERROR(SLOPE(J53:P53,{1,2,3,4,5,6,7})/AVERAGEIF(J53:P53,"&gt;0"),"n/a")</f>
        <v>0.913978494623656</v>
      </c>
      <c r="AE53" s="46" t="str">
        <f aca="false">IFERROR(J53/I53,"n/a")</f>
        <v>n/a</v>
      </c>
      <c r="AF53" s="46" t="str">
        <f aca="false">IFERROR(J53/H53,"n/a")</f>
        <v>n/a</v>
      </c>
      <c r="AG53" s="91" t="s">
        <v>167</v>
      </c>
      <c r="AH53" s="47" t="s">
        <v>152</v>
      </c>
      <c r="AI53" s="60" t="n">
        <v>0.25</v>
      </c>
      <c r="AJ53" s="61" t="s">
        <v>153</v>
      </c>
    </row>
    <row r="54" customFormat="false" ht="16.5" hidden="false" customHeight="true" outlineLevel="0" collapsed="false">
      <c r="A54" s="86" t="s">
        <v>186</v>
      </c>
      <c r="B54" s="87" t="s">
        <v>187</v>
      </c>
      <c r="C54" s="50" t="s">
        <v>89</v>
      </c>
      <c r="D54" s="50" t="s">
        <v>89</v>
      </c>
      <c r="E54" s="50" t="s">
        <v>89</v>
      </c>
      <c r="F54" s="50" t="s">
        <v>89</v>
      </c>
      <c r="G54" s="50" t="s">
        <v>89</v>
      </c>
      <c r="H54" s="50" t="s">
        <v>89</v>
      </c>
      <c r="I54" s="30" t="n">
        <v>2879</v>
      </c>
      <c r="J54" s="50" t="s">
        <v>89</v>
      </c>
      <c r="K54" s="50" t="s">
        <v>89</v>
      </c>
      <c r="L54" s="50" t="s">
        <v>89</v>
      </c>
      <c r="M54" s="50" t="s">
        <v>89</v>
      </c>
      <c r="N54" s="31" t="n">
        <v>1169</v>
      </c>
      <c r="O54" s="31" t="n">
        <v>1948</v>
      </c>
      <c r="P54" s="50" t="s">
        <v>89</v>
      </c>
      <c r="Q54" s="32" t="n">
        <v>1169</v>
      </c>
      <c r="R54" s="33" t="n">
        <f aca="false">IFERROR(AVERAGEIF(C54:I54,"&gt;0"),0)</f>
        <v>2879</v>
      </c>
      <c r="S54" s="34" t="n">
        <f aca="false">IFERROR(AVERAGEIF(J54:P54,"&gt;0"),0)</f>
        <v>1558.5</v>
      </c>
      <c r="T54" s="80" t="n">
        <f aca="false">S54-R54</f>
        <v>-1320.5</v>
      </c>
      <c r="U54" s="81" t="n">
        <f aca="false">IFERROR(S54/R54,"n/a")</f>
        <v>0.541333796457103</v>
      </c>
      <c r="V54" s="69" t="n">
        <f aca="false">IFERROR(S54/$C$3,0)</f>
        <v>1.48403824101544E-005</v>
      </c>
      <c r="W54" s="69" t="n">
        <f aca="false">IFERROR(T54/$D$4,0)</f>
        <v>-3.44574603457845E-005</v>
      </c>
      <c r="X54" s="73" t="n">
        <f aca="false">IFERROR((V54+W54)/2,0)</f>
        <v>-9.80853896781505E-006</v>
      </c>
      <c r="Y54" s="82"/>
      <c r="Z54" s="41" t="str">
        <f aca="false">IFERROR(POWER(P54/C54,1/13)-1,"n/a")</f>
        <v>n/a</v>
      </c>
      <c r="AA54" s="59" t="str">
        <f aca="false">IFERROR(POWER(P54/J54,1/6)-1,"n/a")</f>
        <v>n/a</v>
      </c>
      <c r="AB54" s="70" t="str">
        <f aca="false">IFERROR(AA54-Z54,"n/a")</f>
        <v>n/a</v>
      </c>
      <c r="AC54" s="44" t="n">
        <f aca="false">IFERROR(SLOPE(C54:P54,{1,2,3,4,5,6,7,8,9,10,11,12,13,14})/AVERAGEIF(C54:P54,"&gt;0"),"n/a")</f>
        <v>-0.107789601669931</v>
      </c>
      <c r="AD54" s="90" t="n">
        <f aca="false">IFERROR(SLOPE(J54:P54,{1,2,3,4,5,6,7})/AVERAGEIF(J54:P54,"&gt;0"),"n/a")</f>
        <v>0.499839589348733</v>
      </c>
      <c r="AE54" s="46" t="str">
        <f aca="false">IFERROR(J54/I54,"n/a")</f>
        <v>n/a</v>
      </c>
      <c r="AF54" s="46" t="str">
        <f aca="false">IFERROR(J54/H54,"n/a")</f>
        <v>n/a</v>
      </c>
      <c r="AG54" s="56" t="n">
        <v>1</v>
      </c>
      <c r="AH54" s="47" t="s">
        <v>136</v>
      </c>
      <c r="AI54" s="48" t="n">
        <v>0.05</v>
      </c>
      <c r="AJ54" s="49" t="s">
        <v>137</v>
      </c>
    </row>
    <row r="55" customFormat="false" ht="16.5" hidden="false" customHeight="true" outlineLevel="0" collapsed="false">
      <c r="A55" s="86" t="s">
        <v>188</v>
      </c>
      <c r="B55" s="87" t="s">
        <v>189</v>
      </c>
      <c r="C55" s="30" t="n">
        <v>412</v>
      </c>
      <c r="D55" s="30" t="n">
        <v>1460</v>
      </c>
      <c r="E55" s="30" t="n">
        <v>2244</v>
      </c>
      <c r="F55" s="30" t="n">
        <v>3700</v>
      </c>
      <c r="G55" s="30" t="n">
        <v>2230</v>
      </c>
      <c r="H55" s="30" t="n">
        <v>3223</v>
      </c>
      <c r="I55" s="30" t="n">
        <v>2486</v>
      </c>
      <c r="J55" s="31" t="n">
        <v>283</v>
      </c>
      <c r="K55" s="50" t="s">
        <v>89</v>
      </c>
      <c r="L55" s="50" t="s">
        <v>89</v>
      </c>
      <c r="M55" s="31" t="n">
        <v>2288</v>
      </c>
      <c r="N55" s="50" t="s">
        <v>89</v>
      </c>
      <c r="O55" s="50" t="s">
        <v>89</v>
      </c>
      <c r="P55" s="50" t="s">
        <v>89</v>
      </c>
      <c r="Q55" s="50" t="s">
        <v>89</v>
      </c>
      <c r="R55" s="33" t="n">
        <f aca="false">IFERROR(AVERAGEIF(C55:I55,"&gt;0"),0)</f>
        <v>2250.71428571429</v>
      </c>
      <c r="S55" s="34" t="n">
        <f aca="false">IFERROR(AVERAGEIF(J55:P55,"&gt;0"),0)</f>
        <v>1285.5</v>
      </c>
      <c r="T55" s="80" t="n">
        <f aca="false">S55-R55</f>
        <v>-965.214285714286</v>
      </c>
      <c r="U55" s="81" t="n">
        <f aca="false">IFERROR(S55/R55,"n/a")</f>
        <v>0.571152015233259</v>
      </c>
      <c r="V55" s="69" t="n">
        <f aca="false">IFERROR(S55/$C$3,0)</f>
        <v>1.22408159051995E-005</v>
      </c>
      <c r="W55" s="69" t="n">
        <f aca="false">IFERROR(T55/$D$4,0)</f>
        <v>-2.51865452292198E-005</v>
      </c>
      <c r="X55" s="73" t="n">
        <f aca="false">IFERROR((V55+W55)/2,0)</f>
        <v>-6.47286466201012E-006</v>
      </c>
      <c r="Y55" s="82"/>
      <c r="Z55" s="53" t="str">
        <f aca="false">IFERROR(POWER(P55/C55,1/13)-1,"n/a")</f>
        <v>n/a</v>
      </c>
      <c r="AA55" s="59" t="str">
        <f aca="false">IFERROR(POWER(P55/J55,1/6)-1,"n/a")</f>
        <v>n/a</v>
      </c>
      <c r="AB55" s="70" t="str">
        <f aca="false">IFERROR(AA55-Z55,"n/a")</f>
        <v>n/a</v>
      </c>
      <c r="AC55" s="43" t="n">
        <f aca="false">IFERROR(SLOPE(C55:P55,{1,2,3,4,5,6,7,8,9,10,11,12,13,14})/AVERAGEIF(C55:P55,"&gt;0"),"n/a")</f>
        <v>0.0276775006599897</v>
      </c>
      <c r="AD55" s="90" t="n">
        <f aca="false">IFERROR(SLOPE(J55:P55,{1,2,3,4,5,6,7})/AVERAGEIF(J55:P55,"&gt;0"),"n/a")</f>
        <v>0.519901465058991</v>
      </c>
      <c r="AE55" s="46" t="n">
        <f aca="false">IFERROR(J55/I55,"n/a")</f>
        <v>0.113837489943685</v>
      </c>
      <c r="AF55" s="46" t="n">
        <f aca="false">IFERROR(J55/H55,"n/a")</f>
        <v>0.0878063915606578</v>
      </c>
      <c r="AG55" s="91" t="s">
        <v>167</v>
      </c>
      <c r="AH55" s="47" t="s">
        <v>190</v>
      </c>
      <c r="AI55" s="48" t="n">
        <v>0.1</v>
      </c>
      <c r="AJ55" s="61" t="s">
        <v>191</v>
      </c>
    </row>
    <row r="56" customFormat="false" ht="16.5" hidden="false" customHeight="true" outlineLevel="0" collapsed="false">
      <c r="A56" s="86" t="s">
        <v>192</v>
      </c>
      <c r="B56" s="87" t="s">
        <v>193</v>
      </c>
      <c r="C56" s="50" t="s">
        <v>89</v>
      </c>
      <c r="D56" s="30" t="n">
        <v>6090</v>
      </c>
      <c r="E56" s="50" t="s">
        <v>89</v>
      </c>
      <c r="F56" s="30" t="n">
        <v>3698</v>
      </c>
      <c r="G56" s="50" t="s">
        <v>89</v>
      </c>
      <c r="H56" s="50" t="s">
        <v>89</v>
      </c>
      <c r="I56" s="50" t="s">
        <v>89</v>
      </c>
      <c r="J56" s="50" t="s">
        <v>89</v>
      </c>
      <c r="K56" s="31" t="n">
        <v>1090</v>
      </c>
      <c r="L56" s="50" t="s">
        <v>89</v>
      </c>
      <c r="M56" s="50" t="s">
        <v>89</v>
      </c>
      <c r="N56" s="50" t="s">
        <v>89</v>
      </c>
      <c r="O56" s="50" t="s">
        <v>89</v>
      </c>
      <c r="P56" s="50" t="s">
        <v>89</v>
      </c>
      <c r="Q56" s="50" t="s">
        <v>89</v>
      </c>
      <c r="R56" s="33" t="n">
        <f aca="false">IFERROR(AVERAGEIF(C56:I56,"&gt;0"),0)</f>
        <v>4894</v>
      </c>
      <c r="S56" s="34" t="n">
        <f aca="false">IFERROR(AVERAGEIF(J56:P56,"&gt;0"),0)</f>
        <v>1090</v>
      </c>
      <c r="T56" s="80" t="n">
        <f aca="false">S56-R56</f>
        <v>-3804</v>
      </c>
      <c r="U56" s="81" t="n">
        <f aca="false">IFERROR(S56/R56,"n/a")</f>
        <v>0.222721700040866</v>
      </c>
      <c r="V56" s="69" t="n">
        <f aca="false">IFERROR(S56/$C$3,0)</f>
        <v>1.03792215765597E-005</v>
      </c>
      <c r="W56" s="69" t="n">
        <f aca="false">IFERROR(T56/$D$4,0)</f>
        <v>-9.92625362782008E-005</v>
      </c>
      <c r="X56" s="73" t="n">
        <f aca="false">IFERROR((V56+W56)/2,0)</f>
        <v>-4.44416573508206E-005</v>
      </c>
      <c r="Y56" s="82"/>
      <c r="Z56" s="41" t="str">
        <f aca="false">IFERROR(POWER(P56/C56,1/13)-1,"n/a")</f>
        <v>n/a</v>
      </c>
      <c r="AA56" s="40" t="str">
        <f aca="false">IFERROR(POWER(P56/J56,1/6)-1,"n/a")</f>
        <v>n/a</v>
      </c>
      <c r="AB56" s="92" t="str">
        <f aca="false">IFERROR(AA56-Z56,"n/a")</f>
        <v>n/a</v>
      </c>
      <c r="AC56" s="44" t="n">
        <f aca="false">IFERROR(SLOPE(C56:P56,{1,2,3,4,5,6,7,8,9,10,11,12,13,14})/AVERAGEIF(C56:P56,"&gt;0"),"n/a")</f>
        <v>-0.18677075819933</v>
      </c>
      <c r="AD56" s="90" t="str">
        <f aca="false">IFERROR(SLOPE(J56:P56,{1,2,3,4,5,6,7})/AVERAGEIF(J56:P56,"&gt;0"),"n/a")</f>
        <v>n/a</v>
      </c>
      <c r="AE56" s="46" t="str">
        <f aca="false">IFERROR(J56/I56,"n/a")</f>
        <v>n/a</v>
      </c>
      <c r="AF56" s="46" t="str">
        <f aca="false">IFERROR(J56/H56,"n/a")</f>
        <v>n/a</v>
      </c>
      <c r="AG56" s="91" t="s">
        <v>167</v>
      </c>
      <c r="AH56" s="47" t="s">
        <v>90</v>
      </c>
      <c r="AI56" s="48" t="n">
        <v>0.025</v>
      </c>
      <c r="AJ56" s="49" t="s">
        <v>91</v>
      </c>
    </row>
    <row r="57" customFormat="false" ht="16.5" hidden="false" customHeight="true" outlineLevel="0" collapsed="false">
      <c r="A57" s="86" t="s">
        <v>194</v>
      </c>
      <c r="B57" s="87" t="s">
        <v>195</v>
      </c>
      <c r="C57" s="30" t="n">
        <v>20395</v>
      </c>
      <c r="D57" s="30" t="n">
        <v>15161</v>
      </c>
      <c r="E57" s="30" t="n">
        <v>15484</v>
      </c>
      <c r="F57" s="30" t="n">
        <v>11042</v>
      </c>
      <c r="G57" s="30" t="n">
        <v>10073</v>
      </c>
      <c r="H57" s="30" t="n">
        <v>8640</v>
      </c>
      <c r="I57" s="30" t="n">
        <v>5197</v>
      </c>
      <c r="J57" s="50" t="s">
        <v>89</v>
      </c>
      <c r="K57" s="50" t="s">
        <v>89</v>
      </c>
      <c r="L57" s="31" t="n">
        <v>1090</v>
      </c>
      <c r="M57" s="50" t="s">
        <v>89</v>
      </c>
      <c r="N57" s="50" t="s">
        <v>89</v>
      </c>
      <c r="O57" s="31" t="n">
        <v>86</v>
      </c>
      <c r="P57" s="50" t="s">
        <v>89</v>
      </c>
      <c r="Q57" s="50" t="s">
        <v>89</v>
      </c>
      <c r="R57" s="33" t="n">
        <f aca="false">IFERROR(AVERAGEIF(C57:I57,"&gt;0"),0)</f>
        <v>12284.5714285714</v>
      </c>
      <c r="S57" s="34" t="n">
        <f aca="false">IFERROR(AVERAGEIF(J57:P57,"&gt;0"),0)</f>
        <v>588</v>
      </c>
      <c r="T57" s="80" t="n">
        <f aca="false">S57-R57</f>
        <v>-11696.5714285714</v>
      </c>
      <c r="U57" s="81" t="n">
        <f aca="false">IFERROR(S57/R57,"n/a")</f>
        <v>0.0478649176667597</v>
      </c>
      <c r="V57" s="69" t="n">
        <f aca="false">IFERROR(S57/$C$3,0)</f>
        <v>5.5990663183643E-006</v>
      </c>
      <c r="W57" s="69" t="n">
        <f aca="false">IFERROR(T57/$D$4,0)</f>
        <v>-0.00030521328752869</v>
      </c>
      <c r="X57" s="73" t="n">
        <f aca="false">IFERROR((V57+W57)/2,0)</f>
        <v>-0.000149807110605163</v>
      </c>
      <c r="Y57" s="82"/>
      <c r="Z57" s="41" t="str">
        <f aca="false">IFERROR(POWER(P57/C57,1/13)-1,"n/a")</f>
        <v>n/a</v>
      </c>
      <c r="AA57" s="41" t="str">
        <f aca="false">IFERROR(POWER(P57/J57,1/6)-1,"n/a")</f>
        <v>n/a</v>
      </c>
      <c r="AB57" s="42" t="str">
        <f aca="false">IFERROR(AA57-Z57,"n/a")</f>
        <v>n/a</v>
      </c>
      <c r="AC57" s="44" t="n">
        <f aca="false">IFERROR(SLOPE(C57:P57,{1,2,3,4,5,6,7,8,9,10,11,12,13,14})/AVERAGEIF(C57:P57,"&gt;0"),"n/a")</f>
        <v>-0.173813498072687</v>
      </c>
      <c r="AD57" s="90" t="n">
        <f aca="false">IFERROR(SLOPE(J57:P57,{1,2,3,4,5,6,7})/AVERAGEIF(J57:P57,"&gt;0"),"n/a")</f>
        <v>-0.569160997732426</v>
      </c>
      <c r="AE57" s="46" t="str">
        <f aca="false">IFERROR(J57/I57,"n/a")</f>
        <v>n/a</v>
      </c>
      <c r="AF57" s="46" t="str">
        <f aca="false">IFERROR(J57/H57,"n/a")</f>
        <v>n/a</v>
      </c>
      <c r="AG57" s="72" t="n">
        <v>0.146258503401361</v>
      </c>
      <c r="AH57" s="47" t="s">
        <v>90</v>
      </c>
      <c r="AI57" s="48" t="n">
        <v>0.025</v>
      </c>
      <c r="AJ57" s="49" t="s">
        <v>91</v>
      </c>
    </row>
    <row r="58" customFormat="false" ht="16.5" hidden="false" customHeight="true" outlineLevel="0" collapsed="false">
      <c r="A58" s="86" t="s">
        <v>196</v>
      </c>
      <c r="B58" s="87" t="s">
        <v>197</v>
      </c>
      <c r="C58" s="50" t="s">
        <v>89</v>
      </c>
      <c r="D58" s="50" t="s">
        <v>89</v>
      </c>
      <c r="E58" s="50" t="s">
        <v>89</v>
      </c>
      <c r="F58" s="50" t="s">
        <v>89</v>
      </c>
      <c r="G58" s="50" t="s">
        <v>89</v>
      </c>
      <c r="H58" s="50" t="s">
        <v>89</v>
      </c>
      <c r="I58" s="50" t="s">
        <v>89</v>
      </c>
      <c r="J58" s="50" t="s">
        <v>89</v>
      </c>
      <c r="K58" s="50" t="s">
        <v>89</v>
      </c>
      <c r="L58" s="50" t="s">
        <v>89</v>
      </c>
      <c r="M58" s="50" t="s">
        <v>89</v>
      </c>
      <c r="N58" s="50" t="s">
        <v>89</v>
      </c>
      <c r="O58" s="31" t="n">
        <v>500</v>
      </c>
      <c r="P58" s="31" t="n">
        <v>90</v>
      </c>
      <c r="Q58" s="50" t="s">
        <v>89</v>
      </c>
      <c r="R58" s="33" t="n">
        <f aca="false">IFERROR(AVERAGEIF(C58:I58,"&gt;0"),0)</f>
        <v>0</v>
      </c>
      <c r="S58" s="34" t="n">
        <f aca="false">IFERROR(AVERAGEIF(J58:P58,"&gt;0"),0)</f>
        <v>295</v>
      </c>
      <c r="T58" s="89" t="n">
        <f aca="false">S58-R58</f>
        <v>295</v>
      </c>
      <c r="U58" s="81" t="str">
        <f aca="false">IFERROR(S58/R58,"n/a")</f>
        <v>n/a</v>
      </c>
      <c r="V58" s="69" t="n">
        <f aca="false">IFERROR(S58/$C$3,0)</f>
        <v>2.80905538081202E-006</v>
      </c>
      <c r="W58" s="69" t="n">
        <f aca="false">IFERROR(T58/$D$4,0)</f>
        <v>7.69780446952398E-006</v>
      </c>
      <c r="X58" s="73" t="n">
        <f aca="false">IFERROR((V58+W58)/2,0)</f>
        <v>5.253429925168E-006</v>
      </c>
      <c r="Y58" s="82"/>
      <c r="Z58" s="41" t="str">
        <f aca="false">IFERROR(POWER(P58/C58,1/13)-1,"n/a")</f>
        <v>n/a</v>
      </c>
      <c r="AA58" s="41" t="str">
        <f aca="false">IFERROR(POWER(P58/J58,1/6)-1,"n/a")</f>
        <v>n/a</v>
      </c>
      <c r="AB58" s="57" t="str">
        <f aca="false">IFERROR(AA58-Z58,"n/a")</f>
        <v>n/a</v>
      </c>
      <c r="AC58" s="90" t="n">
        <f aca="false">IFERROR(SLOPE(C58:P58,{1,2,3,4,5,6,7,8,9,10,11,12,13,14})/AVERAGEIF(C58:P58,"&gt;0"),"n/a")</f>
        <v>-1.38983050847458</v>
      </c>
      <c r="AD58" s="90" t="n">
        <f aca="false">IFERROR(SLOPE(J58:P58,{1,2,3,4,5,6,7})/AVERAGEIF(J58:P58,"&gt;0"),"n/a")</f>
        <v>-1.38983050847458</v>
      </c>
      <c r="AE58" s="46" t="str">
        <f aca="false">IFERROR(J58/I58,"n/a")</f>
        <v>n/a</v>
      </c>
      <c r="AF58" s="46" t="str">
        <f aca="false">IFERROR(J58/H58,"n/a")</f>
        <v>n/a</v>
      </c>
      <c r="AG58" s="56" t="n">
        <v>1</v>
      </c>
      <c r="AH58" s="47" t="s">
        <v>198</v>
      </c>
      <c r="AI58" s="60" t="n">
        <v>0.1925</v>
      </c>
      <c r="AJ58" s="61" t="s">
        <v>199</v>
      </c>
    </row>
    <row r="59" customFormat="false" ht="16.5" hidden="false" customHeight="true" outlineLevel="0" collapsed="false">
      <c r="A59" s="86" t="s">
        <v>200</v>
      </c>
      <c r="B59" s="87" t="s">
        <v>201</v>
      </c>
      <c r="C59" s="50" t="s">
        <v>89</v>
      </c>
      <c r="D59" s="30" t="n">
        <v>935</v>
      </c>
      <c r="E59" s="30" t="n">
        <v>110</v>
      </c>
      <c r="F59" s="30" t="n">
        <v>38</v>
      </c>
      <c r="G59" s="30" t="n">
        <v>648</v>
      </c>
      <c r="H59" s="30" t="n">
        <v>153</v>
      </c>
      <c r="I59" s="30" t="n">
        <v>79</v>
      </c>
      <c r="J59" s="31" t="n">
        <v>167</v>
      </c>
      <c r="K59" s="50" t="s">
        <v>89</v>
      </c>
      <c r="L59" s="50" t="s">
        <v>89</v>
      </c>
      <c r="M59" s="50" t="s">
        <v>89</v>
      </c>
      <c r="N59" s="50" t="s">
        <v>89</v>
      </c>
      <c r="O59" s="50" t="s">
        <v>89</v>
      </c>
      <c r="P59" s="50" t="s">
        <v>89</v>
      </c>
      <c r="Q59" s="50" t="s">
        <v>89</v>
      </c>
      <c r="R59" s="33" t="n">
        <f aca="false">IFERROR(AVERAGEIF(C59:I59,"&gt;0"),0)</f>
        <v>327.166666666667</v>
      </c>
      <c r="S59" s="34" t="n">
        <f aca="false">IFERROR(AVERAGEIF(J59:P59,"&gt;0"),0)</f>
        <v>167</v>
      </c>
      <c r="T59" s="80" t="n">
        <f aca="false">S59-R59</f>
        <v>-160.166666666667</v>
      </c>
      <c r="U59" s="81" t="n">
        <f aca="false">IFERROR(S59/R59,"n/a")</f>
        <v>0.510443199184921</v>
      </c>
      <c r="V59" s="69" t="n">
        <f aca="false">IFERROR(S59/$C$3,0)</f>
        <v>1.5902110121885E-006</v>
      </c>
      <c r="W59" s="69" t="n">
        <f aca="false">IFERROR(T59/$D$4,0)</f>
        <v>-4.17942943232347E-006</v>
      </c>
      <c r="X59" s="73" t="n">
        <f aca="false">IFERROR((V59+W59)/2,0)</f>
        <v>-1.29460921006749E-006</v>
      </c>
      <c r="Y59" s="82"/>
      <c r="Z59" s="41" t="str">
        <f aca="false">IFERROR(POWER(P59/C59,1/13)-1,"n/a")</f>
        <v>n/a</v>
      </c>
      <c r="AA59" s="40" t="str">
        <f aca="false">IFERROR(POWER(P59/J59,1/6)-1,"n/a")</f>
        <v>n/a</v>
      </c>
      <c r="AB59" s="92" t="str">
        <f aca="false">IFERROR(AA59-Z59,"n/a")</f>
        <v>n/a</v>
      </c>
      <c r="AC59" s="44" t="n">
        <f aca="false">IFERROR(SLOPE(C59:P59,{1,2,3,4,5,6,7,8,9,10,11,12,13,14})/AVERAGEIF(C59:P59,"&gt;0"),"n/a")</f>
        <v>-0.264201877934272</v>
      </c>
      <c r="AD59" s="90" t="str">
        <f aca="false">IFERROR(SLOPE(J59:P59,{1,2,3,4,5,6,7})/AVERAGEIF(J59:P59,"&gt;0"),"n/a")</f>
        <v>n/a</v>
      </c>
      <c r="AE59" s="83" t="n">
        <f aca="false">IFERROR(J59/I59,"n/a")</f>
        <v>2.11392405063291</v>
      </c>
      <c r="AF59" s="46" t="n">
        <f aca="false">IFERROR(J59/H59,"n/a")</f>
        <v>1.09150326797386</v>
      </c>
      <c r="AG59" s="91" t="s">
        <v>167</v>
      </c>
      <c r="AH59" s="47" t="s">
        <v>136</v>
      </c>
      <c r="AI59" s="48" t="n">
        <v>0.05</v>
      </c>
      <c r="AJ59" s="49" t="s">
        <v>137</v>
      </c>
    </row>
    <row r="60" customFormat="false" ht="16.5" hidden="false" customHeight="true" outlineLevel="0" collapsed="false">
      <c r="A60" s="86" t="s">
        <v>202</v>
      </c>
      <c r="B60" s="87" t="s">
        <v>203</v>
      </c>
      <c r="C60" s="50" t="s">
        <v>89</v>
      </c>
      <c r="D60" s="50" t="s">
        <v>89</v>
      </c>
      <c r="E60" s="50" t="s">
        <v>89</v>
      </c>
      <c r="F60" s="50" t="s">
        <v>89</v>
      </c>
      <c r="G60" s="50" t="s">
        <v>89</v>
      </c>
      <c r="H60" s="50" t="s">
        <v>89</v>
      </c>
      <c r="I60" s="50" t="s">
        <v>89</v>
      </c>
      <c r="J60" s="31" t="n">
        <v>7</v>
      </c>
      <c r="K60" s="50" t="s">
        <v>89</v>
      </c>
      <c r="L60" s="50" t="s">
        <v>89</v>
      </c>
      <c r="M60" s="50" t="s">
        <v>89</v>
      </c>
      <c r="N60" s="31" t="n">
        <v>186</v>
      </c>
      <c r="O60" s="50" t="s">
        <v>89</v>
      </c>
      <c r="P60" s="50" t="s">
        <v>89</v>
      </c>
      <c r="Q60" s="32" t="n">
        <v>186</v>
      </c>
      <c r="R60" s="33" t="n">
        <f aca="false">IFERROR(AVERAGEIF(C60:I60,"&gt;0"),0)</f>
        <v>0</v>
      </c>
      <c r="S60" s="34" t="n">
        <f aca="false">IFERROR(AVERAGEIF(J60:P60,"&gt;0"),0)</f>
        <v>96.5</v>
      </c>
      <c r="T60" s="89" t="n">
        <f aca="false">S60-R60</f>
        <v>96.5</v>
      </c>
      <c r="U60" s="81" t="str">
        <f aca="false">IFERROR(S60/R60,"n/a")</f>
        <v>n/a</v>
      </c>
      <c r="V60" s="69" t="n">
        <f aca="false">IFERROR(S60/$C$3,0)</f>
        <v>9.18894387282577E-007</v>
      </c>
      <c r="W60" s="69" t="n">
        <f aca="false">IFERROR(T60/$D$4,0)</f>
        <v>2.51809536036971E-006</v>
      </c>
      <c r="X60" s="73" t="n">
        <f aca="false">IFERROR((V60+W60)/2,0)</f>
        <v>1.71849487382614E-006</v>
      </c>
      <c r="Y60" s="82"/>
      <c r="Z60" s="59" t="str">
        <f aca="false">IFERROR(POWER(P60/C60,1/13)-1,"n/a")</f>
        <v>n/a</v>
      </c>
      <c r="AA60" s="59" t="str">
        <f aca="false">IFERROR(POWER(P60/J60,1/6)-1,"n/a")</f>
        <v>n/a</v>
      </c>
      <c r="AB60" s="57" t="str">
        <f aca="false">IFERROR(AA60-Z60,"n/a")</f>
        <v>n/a</v>
      </c>
      <c r="AC60" s="90" t="n">
        <f aca="false">IFERROR(SLOPE(C60:P60,{1,2,3,4,5,6,7,8,9,10,11,12,13,14})/AVERAGEIF(C60:P60,"&gt;0"),"n/a")</f>
        <v>0.463730569948187</v>
      </c>
      <c r="AD60" s="90" t="n">
        <f aca="false">IFERROR(SLOPE(J60:P60,{1,2,3,4,5,6,7})/AVERAGEIF(J60:P60,"&gt;0"),"n/a")</f>
        <v>0.463730569948187</v>
      </c>
      <c r="AE60" s="46" t="str">
        <f aca="false">IFERROR(J60/I60,"n/a")</f>
        <v>n/a</v>
      </c>
      <c r="AF60" s="46" t="str">
        <f aca="false">IFERROR(J60/H60,"n/a")</f>
        <v>n/a</v>
      </c>
      <c r="AG60" s="56" t="n">
        <v>1.92746113989637</v>
      </c>
      <c r="AH60" s="47" t="s">
        <v>90</v>
      </c>
      <c r="AI60" s="48" t="n">
        <v>0.025</v>
      </c>
      <c r="AJ60" s="49" t="s">
        <v>91</v>
      </c>
    </row>
    <row r="61" customFormat="false" ht="16.5" hidden="false" customHeight="true" outlineLevel="0" collapsed="false">
      <c r="A61" s="86" t="s">
        <v>204</v>
      </c>
      <c r="B61" s="87" t="s">
        <v>205</v>
      </c>
      <c r="C61" s="50" t="s">
        <v>89</v>
      </c>
      <c r="D61" s="50" t="s">
        <v>89</v>
      </c>
      <c r="E61" s="50" t="s">
        <v>89</v>
      </c>
      <c r="F61" s="50" t="s">
        <v>89</v>
      </c>
      <c r="G61" s="50" t="s">
        <v>89</v>
      </c>
      <c r="H61" s="50" t="s">
        <v>89</v>
      </c>
      <c r="I61" s="30" t="n">
        <v>598</v>
      </c>
      <c r="J61" s="50" t="s">
        <v>89</v>
      </c>
      <c r="K61" s="31" t="n">
        <v>100</v>
      </c>
      <c r="L61" s="31" t="n">
        <v>145</v>
      </c>
      <c r="M61" s="50" t="s">
        <v>89</v>
      </c>
      <c r="N61" s="50" t="s">
        <v>89</v>
      </c>
      <c r="O61" s="31" t="n">
        <v>78</v>
      </c>
      <c r="P61" s="31" t="n">
        <v>56</v>
      </c>
      <c r="Q61" s="50" t="s">
        <v>89</v>
      </c>
      <c r="R61" s="33" t="n">
        <f aca="false">IFERROR(AVERAGEIF(C61:I61,"&gt;0"),0)</f>
        <v>598</v>
      </c>
      <c r="S61" s="34" t="n">
        <f aca="false">IFERROR(AVERAGEIF(J61:P61,"&gt;0"),0)</f>
        <v>94.75</v>
      </c>
      <c r="T61" s="80" t="n">
        <f aca="false">S61-R61</f>
        <v>-503.25</v>
      </c>
      <c r="U61" s="81" t="n">
        <f aca="false">IFERROR(S61/R61,"n/a")</f>
        <v>0.158444816053512</v>
      </c>
      <c r="V61" s="69" t="n">
        <f aca="false">IFERROR(S61/$C$3,0)</f>
        <v>9.02230499430302E-007</v>
      </c>
      <c r="W61" s="69" t="n">
        <f aca="false">IFERROR(T61/$D$4,0)</f>
        <v>-1.31319325399591E-005</v>
      </c>
      <c r="X61" s="73" t="n">
        <f aca="false">IFERROR((V61+W61)/2,0)</f>
        <v>-6.11485102026442E-006</v>
      </c>
      <c r="Y61" s="82"/>
      <c r="Z61" s="41" t="str">
        <f aca="false">IFERROR(POWER(P61/C61,1/13)-1,"n/a")</f>
        <v>n/a</v>
      </c>
      <c r="AA61" s="41" t="str">
        <f aca="false">IFERROR(POWER(P61/J61,1/6)-1,"n/a")</f>
        <v>n/a</v>
      </c>
      <c r="AB61" s="70" t="str">
        <f aca="false">IFERROR(AA61-Z61,"n/a")</f>
        <v>n/a</v>
      </c>
      <c r="AC61" s="44" t="n">
        <f aca="false">IFERROR(SLOPE(C61:P61,{1,2,3,4,5,6,7,8,9,10,11,12,13,14})/AVERAGEIF(C61:P61,"&gt;0"),"n/a")</f>
        <v>-0.311717699868049</v>
      </c>
      <c r="AD61" s="44" t="n">
        <f aca="false">IFERROR(SLOPE(J61:P61,{1,2,3,4,5,6,7})/AVERAGEIF(J61:P61,"&gt;0"),"n/a")</f>
        <v>-0.130684463759118</v>
      </c>
      <c r="AE61" s="46" t="str">
        <f aca="false">IFERROR(J61/I61,"n/a")</f>
        <v>n/a</v>
      </c>
      <c r="AF61" s="46" t="str">
        <f aca="false">IFERROR(J61/H61,"n/a")</f>
        <v>n/a</v>
      </c>
      <c r="AG61" s="72" t="n">
        <v>0.70712401055409</v>
      </c>
      <c r="AH61" s="47" t="s">
        <v>90</v>
      </c>
      <c r="AI61" s="48" t="n">
        <v>0.025</v>
      </c>
      <c r="AJ61" s="49" t="s">
        <v>91</v>
      </c>
    </row>
    <row r="62" customFormat="false" ht="16.5" hidden="false" customHeight="true" outlineLevel="0" collapsed="false">
      <c r="A62" s="86" t="s">
        <v>206</v>
      </c>
      <c r="B62" s="87" t="s">
        <v>207</v>
      </c>
      <c r="C62" s="50" t="s">
        <v>89</v>
      </c>
      <c r="D62" s="50" t="s">
        <v>89</v>
      </c>
      <c r="E62" s="50" t="s">
        <v>89</v>
      </c>
      <c r="F62" s="50" t="s">
        <v>89</v>
      </c>
      <c r="G62" s="50" t="s">
        <v>89</v>
      </c>
      <c r="H62" s="50" t="s">
        <v>89</v>
      </c>
      <c r="I62" s="30" t="n">
        <v>50</v>
      </c>
      <c r="J62" s="50" t="s">
        <v>89</v>
      </c>
      <c r="K62" s="50" t="s">
        <v>89</v>
      </c>
      <c r="L62" s="31" t="n">
        <v>50</v>
      </c>
      <c r="M62" s="50" t="s">
        <v>89</v>
      </c>
      <c r="N62" s="50" t="s">
        <v>89</v>
      </c>
      <c r="O62" s="50" t="s">
        <v>89</v>
      </c>
      <c r="P62" s="50" t="s">
        <v>89</v>
      </c>
      <c r="Q62" s="50" t="s">
        <v>89</v>
      </c>
      <c r="R62" s="33" t="n">
        <f aca="false">IFERROR(AVERAGEIF(C62:I62,"&gt;0"),0)</f>
        <v>50</v>
      </c>
      <c r="S62" s="34" t="n">
        <f aca="false">IFERROR(AVERAGEIF(J62:P62,"&gt;0"),0)</f>
        <v>50</v>
      </c>
      <c r="T62" s="89" t="n">
        <f aca="false">S62-R62</f>
        <v>0</v>
      </c>
      <c r="U62" s="68" t="n">
        <f aca="false">IFERROR(S62/R62,"n/a")</f>
        <v>1</v>
      </c>
      <c r="V62" s="69" t="n">
        <f aca="false">IFERROR(S62/$C$3,0)</f>
        <v>4.76111081493563E-007</v>
      </c>
      <c r="W62" s="69" t="n">
        <f aca="false">IFERROR(T62/$D$4,0)</f>
        <v>0</v>
      </c>
      <c r="X62" s="73" t="n">
        <f aca="false">IFERROR((V62+W62)/2,0)</f>
        <v>2.38055540746782E-007</v>
      </c>
      <c r="Y62" s="82"/>
      <c r="Z62" s="40" t="str">
        <f aca="false">IFERROR(POWER(P62/C62,1/13)-1,"n/a")</f>
        <v>n/a</v>
      </c>
      <c r="AA62" s="40" t="str">
        <f aca="false">IFERROR(POWER(P62/J62,1/6)-1,"n/a")</f>
        <v>n/a</v>
      </c>
      <c r="AB62" s="92" t="str">
        <f aca="false">IFERROR(AA62-Z62,"n/a")</f>
        <v>n/a</v>
      </c>
      <c r="AC62" s="90" t="n">
        <f aca="false">IFERROR(SLOPE(C62:P62,{1,2,3,4,5,6,7,8,9,10,11,12,13,14})/AVERAGEIF(C62:P62,"&gt;0"),"n/a")</f>
        <v>0</v>
      </c>
      <c r="AD62" s="90" t="str">
        <f aca="false">IFERROR(SLOPE(J62:P62,{1,2,3,4,5,6,7})/AVERAGEIF(J62:P62,"&gt;0"),"n/a")</f>
        <v>n/a</v>
      </c>
      <c r="AE62" s="46" t="str">
        <f aca="false">IFERROR(J62/I62,"n/a")</f>
        <v>n/a</v>
      </c>
      <c r="AF62" s="46" t="str">
        <f aca="false">IFERROR(J62/H62,"n/a")</f>
        <v>n/a</v>
      </c>
      <c r="AG62" s="91" t="s">
        <v>167</v>
      </c>
      <c r="AH62" s="47" t="s">
        <v>148</v>
      </c>
      <c r="AI62" s="48" t="n">
        <v>0.06</v>
      </c>
      <c r="AJ62" s="49" t="s">
        <v>149</v>
      </c>
    </row>
    <row r="63" customFormat="false" ht="16.5" hidden="false" customHeight="true" outlineLevel="0" collapsed="false">
      <c r="A63" s="86" t="s">
        <v>208</v>
      </c>
      <c r="B63" s="87" t="s">
        <v>209</v>
      </c>
      <c r="C63" s="50" t="s">
        <v>89</v>
      </c>
      <c r="D63" s="50" t="s">
        <v>89</v>
      </c>
      <c r="E63" s="50" t="s">
        <v>89</v>
      </c>
      <c r="F63" s="50" t="s">
        <v>89</v>
      </c>
      <c r="G63" s="50" t="s">
        <v>89</v>
      </c>
      <c r="H63" s="50" t="s">
        <v>89</v>
      </c>
      <c r="I63" s="50" t="s">
        <v>89</v>
      </c>
      <c r="J63" s="31" t="n">
        <v>45</v>
      </c>
      <c r="K63" s="50" t="s">
        <v>89</v>
      </c>
      <c r="L63" s="50" t="s">
        <v>89</v>
      </c>
      <c r="M63" s="50" t="s">
        <v>89</v>
      </c>
      <c r="N63" s="50" t="s">
        <v>89</v>
      </c>
      <c r="O63" s="50" t="s">
        <v>89</v>
      </c>
      <c r="P63" s="50" t="s">
        <v>89</v>
      </c>
      <c r="Q63" s="50" t="s">
        <v>89</v>
      </c>
      <c r="R63" s="33" t="n">
        <f aca="false">IFERROR(AVERAGEIF(C63:I63,"&gt;0"),0)</f>
        <v>0</v>
      </c>
      <c r="S63" s="34" t="n">
        <f aca="false">IFERROR(AVERAGEIF(J63:P63,"&gt;0"),0)</f>
        <v>45</v>
      </c>
      <c r="T63" s="89" t="n">
        <f aca="false">S63-R63</f>
        <v>45</v>
      </c>
      <c r="U63" s="81" t="str">
        <f aca="false">IFERROR(S63/R63,"n/a")</f>
        <v>n/a</v>
      </c>
      <c r="V63" s="69" t="n">
        <f aca="false">IFERROR(S63/$C$3,0)</f>
        <v>4.28499973344207E-007</v>
      </c>
      <c r="W63" s="69" t="n">
        <f aca="false">IFERROR(T63/$D$4,0)</f>
        <v>1.1742413597579E-006</v>
      </c>
      <c r="X63" s="73" t="n">
        <f aca="false">IFERROR((V63+W63)/2,0)</f>
        <v>8.01370666551051E-007</v>
      </c>
      <c r="Y63" s="82"/>
      <c r="Z63" s="40" t="str">
        <f aca="false">IFERROR(POWER(P63/C63,1/13)-1,"n/a")</f>
        <v>n/a</v>
      </c>
      <c r="AA63" s="40" t="str">
        <f aca="false">IFERROR(POWER(P63/J63,1/6)-1,"n/a")</f>
        <v>n/a</v>
      </c>
      <c r="AB63" s="92" t="str">
        <f aca="false">IFERROR(AA63-Z63,"n/a")</f>
        <v>n/a</v>
      </c>
      <c r="AC63" s="90" t="str">
        <f aca="false">IFERROR(SLOPE(C63:P63,{1,2,3,4,5,6,7,8,9,10,11,12,13,14})/AVERAGEIF(C63:P63,"&gt;0"),"n/a")</f>
        <v>n/a</v>
      </c>
      <c r="AD63" s="90" t="str">
        <f aca="false">IFERROR(SLOPE(J63:P63,{1,2,3,4,5,6,7})/AVERAGEIF(J63:P63,"&gt;0"),"n/a")</f>
        <v>n/a</v>
      </c>
      <c r="AE63" s="46" t="str">
        <f aca="false">IFERROR(J63/I63,"n/a")</f>
        <v>n/a</v>
      </c>
      <c r="AF63" s="46" t="str">
        <f aca="false">IFERROR(J63/H63,"n/a")</f>
        <v>n/a</v>
      </c>
      <c r="AG63" s="91" t="s">
        <v>167</v>
      </c>
      <c r="AH63" s="47" t="s">
        <v>190</v>
      </c>
      <c r="AI63" s="48" t="n">
        <v>0.1</v>
      </c>
      <c r="AJ63" s="61" t="s">
        <v>191</v>
      </c>
    </row>
    <row r="64" customFormat="false" ht="16.5" hidden="false" customHeight="true" outlineLevel="0" collapsed="false">
      <c r="A64" s="86" t="s">
        <v>210</v>
      </c>
      <c r="B64" s="87" t="s">
        <v>211</v>
      </c>
      <c r="C64" s="50" t="s">
        <v>89</v>
      </c>
      <c r="D64" s="30" t="n">
        <v>2893</v>
      </c>
      <c r="E64" s="50" t="s">
        <v>89</v>
      </c>
      <c r="F64" s="50" t="s">
        <v>89</v>
      </c>
      <c r="G64" s="30" t="n">
        <v>3733</v>
      </c>
      <c r="H64" s="50" t="s">
        <v>89</v>
      </c>
      <c r="I64" s="50" t="s">
        <v>89</v>
      </c>
      <c r="J64" s="50" t="s">
        <v>89</v>
      </c>
      <c r="K64" s="50" t="s">
        <v>89</v>
      </c>
      <c r="L64" s="50" t="s">
        <v>89</v>
      </c>
      <c r="M64" s="50" t="s">
        <v>89</v>
      </c>
      <c r="N64" s="31" t="n">
        <v>5</v>
      </c>
      <c r="O64" s="50" t="s">
        <v>89</v>
      </c>
      <c r="P64" s="50" t="s">
        <v>89</v>
      </c>
      <c r="Q64" s="32" t="n">
        <v>5</v>
      </c>
      <c r="R64" s="33" t="n">
        <f aca="false">IFERROR(AVERAGEIF(C64:I64,"&gt;0"),0)</f>
        <v>3313</v>
      </c>
      <c r="S64" s="34" t="n">
        <f aca="false">IFERROR(AVERAGEIF(J64:P64,"&gt;0"),0)</f>
        <v>5</v>
      </c>
      <c r="T64" s="80" t="n">
        <f aca="false">S64-R64</f>
        <v>-3308</v>
      </c>
      <c r="U64" s="81" t="n">
        <f aca="false">IFERROR(S64/R64,"n/a")</f>
        <v>0.00150920615756112</v>
      </c>
      <c r="V64" s="69" t="n">
        <f aca="false">IFERROR(S64/$C$3,0)</f>
        <v>4.76111081493563E-008</v>
      </c>
      <c r="W64" s="69" t="n">
        <f aca="false">IFERROR(T64/$D$4,0)</f>
        <v>-8.63197870684249E-005</v>
      </c>
      <c r="X64" s="73" t="n">
        <f aca="false">IFERROR((V64+W64)/2,0)</f>
        <v>-4.31360879801377E-005</v>
      </c>
      <c r="Y64" s="82"/>
      <c r="Z64" s="41" t="str">
        <f aca="false">IFERROR(POWER(P64/C64,1/13)-1,"n/a")</f>
        <v>n/a</v>
      </c>
      <c r="AA64" s="40" t="str">
        <f aca="false">IFERROR(POWER(P64/J64,1/6)-1,"n/a")</f>
        <v>n/a</v>
      </c>
      <c r="AB64" s="92" t="str">
        <f aca="false">IFERROR(AA64-Z64,"n/a")</f>
        <v>n/a</v>
      </c>
      <c r="AC64" s="44" t="n">
        <f aca="false">IFERROR(SLOPE(C64:P64,{1,2,3,4,5,6,7,8,9,10,11,12,13,14})/AVERAGEIF(C64:P64,"&gt;0"),"n/a")</f>
        <v>-0.150203589202232</v>
      </c>
      <c r="AD64" s="90" t="str">
        <f aca="false">IFERROR(SLOPE(J64:P64,{1,2,3,4,5,6,7})/AVERAGEIF(J64:P64,"&gt;0"),"n/a")</f>
        <v>n/a</v>
      </c>
      <c r="AE64" s="46" t="str">
        <f aca="false">IFERROR(J64/I64,"n/a")</f>
        <v>n/a</v>
      </c>
      <c r="AF64" s="46" t="str">
        <f aca="false">IFERROR(J64/H64,"n/a")</f>
        <v>n/a</v>
      </c>
      <c r="AG64" s="56" t="n">
        <v>1</v>
      </c>
      <c r="AH64" s="47" t="s">
        <v>172</v>
      </c>
      <c r="AI64" s="60" t="n">
        <v>0.15</v>
      </c>
      <c r="AJ64" s="61" t="s">
        <v>173</v>
      </c>
    </row>
    <row r="66" customFormat="false" ht="21.75" hidden="false" customHeight="true" outlineLevel="0" collapsed="false">
      <c r="A66" s="93" t="s">
        <v>212</v>
      </c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</row>
    <row r="67" customFormat="false" ht="15" hidden="false" customHeight="true" outlineLevel="0" collapsed="false">
      <c r="A67" s="94" t="s">
        <v>213</v>
      </c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</row>
    <row r="68" customFormat="false" ht="16.5" hidden="false" customHeight="true" outlineLevel="0" collapsed="false">
      <c r="A68" s="95" t="s">
        <v>214</v>
      </c>
      <c r="B68" s="96" t="s">
        <v>215</v>
      </c>
      <c r="C68" s="30" t="n">
        <v>364308</v>
      </c>
      <c r="D68" s="30" t="n">
        <v>434879</v>
      </c>
      <c r="E68" s="30" t="n">
        <v>286257</v>
      </c>
      <c r="F68" s="30" t="n">
        <v>273213</v>
      </c>
      <c r="G68" s="30" t="n">
        <v>343913</v>
      </c>
      <c r="H68" s="30" t="n">
        <v>269374</v>
      </c>
      <c r="I68" s="30" t="n">
        <v>314150</v>
      </c>
      <c r="J68" s="31" t="n">
        <v>504470</v>
      </c>
      <c r="K68" s="31" t="n">
        <v>625082</v>
      </c>
      <c r="L68" s="31" t="n">
        <v>1315523</v>
      </c>
      <c r="M68" s="31" t="n">
        <v>775244</v>
      </c>
      <c r="N68" s="31" t="n">
        <v>565761</v>
      </c>
      <c r="O68" s="31" t="n">
        <v>728194</v>
      </c>
      <c r="P68" s="31" t="n">
        <v>921503</v>
      </c>
      <c r="Q68" s="32" t="n">
        <v>565761</v>
      </c>
      <c r="R68" s="33" t="n">
        <f aca="false">IFERROR(AVERAGEIF(C68:I68,"&gt;0"),0)</f>
        <v>326584.857142857</v>
      </c>
      <c r="S68" s="34" t="n">
        <f aca="false">IFERROR(AVERAGEIF(J68:P68,"&gt;0"),0)</f>
        <v>776539.571428572</v>
      </c>
      <c r="T68" s="67" t="n">
        <f aca="false">S68-R68</f>
        <v>449954.714285714</v>
      </c>
      <c r="U68" s="51" t="n">
        <f aca="false">IFERROR(S68/R68,"n/a")</f>
        <v>2.37775743254652</v>
      </c>
      <c r="V68" s="69" t="n">
        <f aca="false">IFERROR(S68/$C$3,0)</f>
        <v>0.00739438190350811</v>
      </c>
      <c r="W68" s="69" t="n">
        <f aca="false">IFERROR(T68/$D$4,0)</f>
        <v>0.0117412319007185</v>
      </c>
      <c r="X68" s="73" t="n">
        <f aca="false">IFERROR((V68+W68)/2,0)</f>
        <v>0.0095678069021133</v>
      </c>
      <c r="Y68" s="66" t="n">
        <v>0.951704839756737</v>
      </c>
      <c r="Z68" s="53" t="n">
        <f aca="false">IFERROR(POWER(P68/C68,1/13)-1,"n/a")</f>
        <v>0.0739947473137099</v>
      </c>
      <c r="AA68" s="53" t="n">
        <f aca="false">IFERROR(POWER(P68/J68,1/6)-1,"n/a")</f>
        <v>0.105631070610265</v>
      </c>
      <c r="AB68" s="57" t="n">
        <f aca="false">IFERROR(AA68-Z68,"n/a")</f>
        <v>0.0316363232965555</v>
      </c>
      <c r="AC68" s="43" t="n">
        <f aca="false">IFERROR(SLOPE(C68:P68,{1,2,3,4,5,6,7,8,9,10,11,12,13,14})/AVERAGEIF(C68:P68,"&gt;0"),"n/a")</f>
        <v>0.0901146566481302</v>
      </c>
      <c r="AD68" s="43" t="n">
        <f aca="false">IFERROR(SLOPE(J68:P68,{1,2,3,4,5,6,7})/AVERAGEIF(J68:P68,"&gt;0"),"n/a")</f>
        <v>0.0325418518824448</v>
      </c>
      <c r="AE68" s="71" t="n">
        <f aca="false">IFERROR(J68/I68,"n/a")</f>
        <v>1.60582524271845</v>
      </c>
      <c r="AF68" s="71" t="n">
        <f aca="false">IFERROR(J68/H68,"n/a")</f>
        <v>1.87274941159874</v>
      </c>
      <c r="AG68" s="46" t="n">
        <v>0.950995966170062</v>
      </c>
      <c r="AH68" s="47" t="s">
        <v>90</v>
      </c>
      <c r="AI68" s="48" t="n">
        <v>0.025</v>
      </c>
      <c r="AJ68" s="49" t="s">
        <v>91</v>
      </c>
    </row>
    <row r="69" customFormat="false" ht="16.5" hidden="false" customHeight="true" outlineLevel="0" collapsed="false">
      <c r="A69" s="95" t="s">
        <v>216</v>
      </c>
      <c r="B69" s="96" t="s">
        <v>217</v>
      </c>
      <c r="C69" s="30" t="n">
        <v>118852</v>
      </c>
      <c r="D69" s="30" t="n">
        <v>117798</v>
      </c>
      <c r="E69" s="30" t="n">
        <v>150134</v>
      </c>
      <c r="F69" s="30" t="n">
        <v>267659</v>
      </c>
      <c r="G69" s="30" t="n">
        <v>208319</v>
      </c>
      <c r="H69" s="30" t="n">
        <v>339877</v>
      </c>
      <c r="I69" s="30" t="n">
        <v>290278</v>
      </c>
      <c r="J69" s="31" t="n">
        <v>342759</v>
      </c>
      <c r="K69" s="31" t="n">
        <v>314427</v>
      </c>
      <c r="L69" s="31" t="n">
        <v>447845</v>
      </c>
      <c r="M69" s="31" t="n">
        <v>356788</v>
      </c>
      <c r="N69" s="31" t="n">
        <v>668091</v>
      </c>
      <c r="O69" s="31" t="n">
        <v>1093054</v>
      </c>
      <c r="P69" s="31" t="n">
        <v>1060462</v>
      </c>
      <c r="Q69" s="32" t="n">
        <v>668091</v>
      </c>
      <c r="R69" s="33" t="n">
        <f aca="false">IFERROR(AVERAGEIF(C69:I69,"&gt;0"),0)</f>
        <v>213273.857142857</v>
      </c>
      <c r="S69" s="34" t="n">
        <f aca="false">IFERROR(AVERAGEIF(J69:P69,"&gt;0"),0)</f>
        <v>611918</v>
      </c>
      <c r="T69" s="67" t="n">
        <f aca="false">S69-R69</f>
        <v>398644.142857143</v>
      </c>
      <c r="U69" s="51" t="n">
        <f aca="false">IFERROR(S69/R69,"n/a")</f>
        <v>2.86916553298007</v>
      </c>
      <c r="V69" s="69" t="n">
        <f aca="false">IFERROR(S69/$C$3,0)</f>
        <v>0.00582681881530757</v>
      </c>
      <c r="W69" s="69" t="n">
        <f aca="false">IFERROR(T69/$D$4,0)</f>
        <v>0.0104023208970687</v>
      </c>
      <c r="X69" s="73" t="n">
        <f aca="false">IFERROR((V69+W69)/2,0)</f>
        <v>0.00811456985618814</v>
      </c>
      <c r="Y69" s="66" t="n">
        <v>0.960004702524914</v>
      </c>
      <c r="Z69" s="53" t="n">
        <f aca="false">IFERROR(POWER(P69/C69,1/13)-1,"n/a")</f>
        <v>0.183353525446778</v>
      </c>
      <c r="AA69" s="59" t="n">
        <f aca="false">IFERROR(POWER(P69/J69,1/6)-1,"n/a")</f>
        <v>0.207121654070427</v>
      </c>
      <c r="AB69" s="57" t="n">
        <f aca="false">IFERROR(AA69-Z69,"n/a")</f>
        <v>0.0237681286236489</v>
      </c>
      <c r="AC69" s="43" t="n">
        <f aca="false">IFERROR(SLOPE(C69:P69,{1,2,3,4,5,6,7,8,9,10,11,12,13,14})/AVERAGEIF(C69:P69,"&gt;0"),"n/a")</f>
        <v>0.156756209035584</v>
      </c>
      <c r="AD69" s="43" t="n">
        <f aca="false">IFERROR(SLOPE(J69:P69,{1,2,3,4,5,6,7})/AVERAGEIF(J69:P69,"&gt;0"),"n/a")</f>
        <v>0.229408013585387</v>
      </c>
      <c r="AE69" s="45" t="n">
        <f aca="false">IFERROR(J69/I69,"n/a")</f>
        <v>1.18079565106553</v>
      </c>
      <c r="AF69" s="46" t="n">
        <f aca="false">IFERROR(J69/H69,"n/a")</f>
        <v>1.00847953818587</v>
      </c>
      <c r="AG69" s="56" t="n">
        <v>1.53702892653373</v>
      </c>
      <c r="AH69" s="47" t="s">
        <v>152</v>
      </c>
      <c r="AI69" s="60" t="n">
        <v>0.25</v>
      </c>
      <c r="AJ69" s="61" t="s">
        <v>153</v>
      </c>
    </row>
    <row r="70" customFormat="false" ht="16.5" hidden="false" customHeight="true" outlineLevel="0" collapsed="false">
      <c r="A70" s="95" t="s">
        <v>218</v>
      </c>
      <c r="B70" s="96" t="s">
        <v>219</v>
      </c>
      <c r="C70" s="50" t="s">
        <v>89</v>
      </c>
      <c r="D70" s="50" t="s">
        <v>89</v>
      </c>
      <c r="E70" s="50" t="s">
        <v>89</v>
      </c>
      <c r="F70" s="50" t="s">
        <v>89</v>
      </c>
      <c r="G70" s="50" t="s">
        <v>89</v>
      </c>
      <c r="H70" s="30" t="n">
        <v>45088</v>
      </c>
      <c r="I70" s="50" t="s">
        <v>89</v>
      </c>
      <c r="J70" s="50" t="s">
        <v>89</v>
      </c>
      <c r="K70" s="50" t="s">
        <v>89</v>
      </c>
      <c r="L70" s="50" t="s">
        <v>89</v>
      </c>
      <c r="M70" s="50" t="s">
        <v>89</v>
      </c>
      <c r="N70" s="31" t="n">
        <v>921913</v>
      </c>
      <c r="O70" s="31" t="n">
        <v>250596</v>
      </c>
      <c r="P70" s="31" t="n">
        <v>195988</v>
      </c>
      <c r="Q70" s="32" t="n">
        <v>921913</v>
      </c>
      <c r="R70" s="33" t="n">
        <f aca="false">IFERROR(AVERAGEIF(C70:I70,"&gt;0"),0)</f>
        <v>45088</v>
      </c>
      <c r="S70" s="34" t="n">
        <f aca="false">IFERROR(AVERAGEIF(J70:P70,"&gt;0"),0)</f>
        <v>456165.666666667</v>
      </c>
      <c r="T70" s="67" t="n">
        <f aca="false">S70-R70</f>
        <v>411077.666666667</v>
      </c>
      <c r="U70" s="51" t="n">
        <f aca="false">IFERROR(S70/R70,"n/a")</f>
        <v>10.117230009463</v>
      </c>
      <c r="V70" s="69" t="n">
        <f aca="false">IFERROR(S70/$C$3,0)</f>
        <v>0.00434371057793798</v>
      </c>
      <c r="W70" s="69" t="n">
        <f aca="false">IFERROR(T70/$D$4,0)</f>
        <v>0.0107267644060615</v>
      </c>
      <c r="X70" s="73" t="n">
        <f aca="false">IFERROR((V70+W70)/2,0)</f>
        <v>0.00753523749199976</v>
      </c>
      <c r="Y70" s="66" t="n">
        <v>0.967678070068206</v>
      </c>
      <c r="Z70" s="59" t="str">
        <f aca="false">IFERROR(POWER(P70/C70,1/13)-1,"n/a")</f>
        <v>n/a</v>
      </c>
      <c r="AA70" s="41" t="str">
        <f aca="false">IFERROR(POWER(P70/J70,1/6)-1,"n/a")</f>
        <v>n/a</v>
      </c>
      <c r="AB70" s="42" t="str">
        <f aca="false">IFERROR(AA70-Z70,"n/a")</f>
        <v>n/a</v>
      </c>
      <c r="AC70" s="44" t="n">
        <f aca="false">IFERROR(SLOPE(C70:P70,{1,2,3,4,5,6,7,8,9,10,11,12,13,14})/AVERAGEIF(C70:P70,"&gt;0"),"n/a")</f>
        <v>0.10458754206161</v>
      </c>
      <c r="AD70" s="44" t="n">
        <f aca="false">IFERROR(SLOPE(J70:P70,{1,2,3,4,5,6,7})/AVERAGEIF(J70:P70,"&gt;0"),"n/a")</f>
        <v>-0.795681320455945</v>
      </c>
      <c r="AE70" s="46" t="str">
        <f aca="false">IFERROR(J70/I70,"n/a")</f>
        <v>n/a</v>
      </c>
      <c r="AF70" s="46" t="str">
        <f aca="false">IFERROR(J70/H70,"n/a")</f>
        <v>n/a</v>
      </c>
      <c r="AG70" s="56" t="n">
        <v>1</v>
      </c>
      <c r="AH70" s="47" t="s">
        <v>172</v>
      </c>
      <c r="AI70" s="60" t="n">
        <v>0.15</v>
      </c>
      <c r="AJ70" s="61" t="s">
        <v>173</v>
      </c>
    </row>
    <row r="71" customFormat="false" ht="16.5" hidden="false" customHeight="true" outlineLevel="0" collapsed="false">
      <c r="A71" s="95" t="s">
        <v>220</v>
      </c>
      <c r="B71" s="96" t="s">
        <v>221</v>
      </c>
      <c r="C71" s="30" t="n">
        <v>89411</v>
      </c>
      <c r="D71" s="50" t="s">
        <v>89</v>
      </c>
      <c r="E71" s="50" t="s">
        <v>89</v>
      </c>
      <c r="F71" s="30" t="n">
        <v>27675</v>
      </c>
      <c r="G71" s="30" t="n">
        <v>35083</v>
      </c>
      <c r="H71" s="30" t="n">
        <v>84340</v>
      </c>
      <c r="I71" s="30" t="n">
        <v>144049</v>
      </c>
      <c r="J71" s="31" t="n">
        <v>248479</v>
      </c>
      <c r="K71" s="31" t="n">
        <v>208731</v>
      </c>
      <c r="L71" s="31" t="n">
        <v>148896</v>
      </c>
      <c r="M71" s="31" t="n">
        <v>308193</v>
      </c>
      <c r="N71" s="31" t="n">
        <v>473875</v>
      </c>
      <c r="O71" s="31" t="n">
        <v>507618</v>
      </c>
      <c r="P71" s="31" t="n">
        <v>1031365</v>
      </c>
      <c r="Q71" s="32" t="n">
        <v>473875</v>
      </c>
      <c r="R71" s="33" t="n">
        <f aca="false">IFERROR(AVERAGEIF(C71:I71,"&gt;0"),0)</f>
        <v>76111.6</v>
      </c>
      <c r="S71" s="34" t="n">
        <f aca="false">IFERROR(AVERAGEIF(J71:P71,"&gt;0"),0)</f>
        <v>418165.285714286</v>
      </c>
      <c r="T71" s="67" t="n">
        <f aca="false">S71-R71</f>
        <v>342053.685714286</v>
      </c>
      <c r="U71" s="51" t="n">
        <f aca="false">IFERROR(S71/R71,"n/a")</f>
        <v>5.49410714942644</v>
      </c>
      <c r="V71" s="69" t="n">
        <f aca="false">IFERROR(S71/$C$3,0)</f>
        <v>0.00398186252848987</v>
      </c>
      <c r="W71" s="69" t="n">
        <f aca="false">IFERROR(T71/$D$4,0)</f>
        <v>0.00892563522274095</v>
      </c>
      <c r="X71" s="73" t="n">
        <f aca="false">IFERROR((V71+W71)/2,0)</f>
        <v>0.00645374887561541</v>
      </c>
      <c r="Y71" s="66" t="n">
        <v>0.974258442222566</v>
      </c>
      <c r="Z71" s="59" t="n">
        <f aca="false">IFERROR(POWER(P71/C71,1/13)-1,"n/a")</f>
        <v>0.206962999700524</v>
      </c>
      <c r="AA71" s="59" t="n">
        <f aca="false">IFERROR(POWER(P71/J71,1/6)-1,"n/a")</f>
        <v>0.267711557649136</v>
      </c>
      <c r="AB71" s="57" t="n">
        <f aca="false">IFERROR(AA71-Z71,"n/a")</f>
        <v>0.0607485579486116</v>
      </c>
      <c r="AC71" s="43" t="n">
        <f aca="false">IFERROR(SLOPE(C71:P71,{1,2,3,4,5,6,7,8,9,10,11,12,13,14})/AVERAGEIF(C71:P71,"&gt;0"),"n/a")</f>
        <v>0.210698687609472</v>
      </c>
      <c r="AD71" s="43" t="n">
        <f aca="false">IFERROR(SLOPE(J71:P71,{1,2,3,4,5,6,7})/AVERAGEIF(J71:P71,"&gt;0"),"n/a")</f>
        <v>0.279401736907176</v>
      </c>
      <c r="AE71" s="71" t="n">
        <f aca="false">IFERROR(J71/I71,"n/a")</f>
        <v>1.7249616449958</v>
      </c>
      <c r="AF71" s="71" t="n">
        <f aca="false">IFERROR(J71/H71,"n/a")</f>
        <v>2.94615840645008</v>
      </c>
      <c r="AG71" s="56" t="n">
        <v>1.6045154621589</v>
      </c>
      <c r="AH71" s="47" t="s">
        <v>90</v>
      </c>
      <c r="AI71" s="48" t="n">
        <v>0.025</v>
      </c>
      <c r="AJ71" s="49" t="s">
        <v>91</v>
      </c>
    </row>
    <row r="72" customFormat="false" ht="16.5" hidden="false" customHeight="true" outlineLevel="0" collapsed="false">
      <c r="A72" s="95" t="s">
        <v>222</v>
      </c>
      <c r="B72" s="96" t="s">
        <v>223</v>
      </c>
      <c r="C72" s="50" t="s">
        <v>89</v>
      </c>
      <c r="D72" s="50" t="s">
        <v>89</v>
      </c>
      <c r="E72" s="50" t="s">
        <v>89</v>
      </c>
      <c r="F72" s="30" t="n">
        <v>1939</v>
      </c>
      <c r="G72" s="50" t="s">
        <v>89</v>
      </c>
      <c r="H72" s="50" t="s">
        <v>89</v>
      </c>
      <c r="I72" s="30" t="n">
        <v>315</v>
      </c>
      <c r="J72" s="31" t="n">
        <v>106530</v>
      </c>
      <c r="K72" s="31" t="n">
        <v>229699</v>
      </c>
      <c r="L72" s="31" t="n">
        <v>272899</v>
      </c>
      <c r="M72" s="31" t="n">
        <v>912126</v>
      </c>
      <c r="N72" s="31" t="n">
        <v>83439</v>
      </c>
      <c r="O72" s="31" t="n">
        <v>35633</v>
      </c>
      <c r="P72" s="31" t="n">
        <v>33838</v>
      </c>
      <c r="Q72" s="32" t="n">
        <v>83439</v>
      </c>
      <c r="R72" s="33" t="n">
        <f aca="false">IFERROR(AVERAGEIF(C72:I72,"&gt;0"),0)</f>
        <v>1127</v>
      </c>
      <c r="S72" s="34" t="n">
        <f aca="false">IFERROR(AVERAGEIF(J72:P72,"&gt;0"),0)</f>
        <v>239166.285714286</v>
      </c>
      <c r="T72" s="67" t="n">
        <f aca="false">S72-R72</f>
        <v>238039.285714286</v>
      </c>
      <c r="U72" s="51" t="n">
        <f aca="false">IFERROR(S72/R72,"n/a")</f>
        <v>212.214982887565</v>
      </c>
      <c r="V72" s="69" t="n">
        <f aca="false">IFERROR(S72/$C$3,0)</f>
        <v>0.00227739437896454</v>
      </c>
      <c r="W72" s="69" t="n">
        <f aca="false">IFERROR(T72/$D$4,0)</f>
        <v>0.00621145721184313</v>
      </c>
      <c r="X72" s="73" t="n">
        <f aca="false">IFERROR((V72+W72)/2,0)</f>
        <v>0.00424442579540384</v>
      </c>
      <c r="Y72" s="66" t="n">
        <v>0.978575289188012</v>
      </c>
      <c r="Z72" s="59" t="str">
        <f aca="false">IFERROR(POWER(P72/C72,1/13)-1,"n/a")</f>
        <v>n/a</v>
      </c>
      <c r="AA72" s="41" t="n">
        <f aca="false">IFERROR(POWER(P72/J72,1/6)-1,"n/a")</f>
        <v>-0.173983365778368</v>
      </c>
      <c r="AB72" s="42" t="str">
        <f aca="false">IFERROR(AA72-Z72,"n/a")</f>
        <v>n/a</v>
      </c>
      <c r="AC72" s="43" t="n">
        <f aca="false">IFERROR(SLOPE(C72:P72,{1,2,3,4,5,6,7,8,9,10,11,12,13,14})/AVERAGEIF(C72:P72,"&gt;0"),"n/a")</f>
        <v>0.0835737093436071</v>
      </c>
      <c r="AD72" s="44" t="n">
        <f aca="false">IFERROR(SLOPE(J72:P72,{1,2,3,4,5,6,7})/AVERAGEIF(J72:P72,"&gt;0"),"n/a")</f>
        <v>-0.118815719367995</v>
      </c>
      <c r="AE72" s="54" t="n">
        <f aca="false">IFERROR(J72/I72,"n/a")</f>
        <v>338.190476190476</v>
      </c>
      <c r="AF72" s="46" t="str">
        <f aca="false">IFERROR(J72/H72,"n/a")</f>
        <v>n/a</v>
      </c>
      <c r="AG72" s="72" t="n">
        <v>0.213115322035356</v>
      </c>
      <c r="AH72" s="47" t="s">
        <v>172</v>
      </c>
      <c r="AI72" s="60" t="n">
        <v>0.15</v>
      </c>
      <c r="AJ72" s="61" t="s">
        <v>173</v>
      </c>
    </row>
    <row r="73" customFormat="false" ht="16.5" hidden="false" customHeight="true" outlineLevel="0" collapsed="false">
      <c r="A73" s="95" t="s">
        <v>224</v>
      </c>
      <c r="B73" s="96" t="s">
        <v>225</v>
      </c>
      <c r="C73" s="50" t="s">
        <v>89</v>
      </c>
      <c r="D73" s="50" t="s">
        <v>89</v>
      </c>
      <c r="E73" s="50" t="s">
        <v>89</v>
      </c>
      <c r="F73" s="50" t="s">
        <v>89</v>
      </c>
      <c r="G73" s="50" t="s">
        <v>89</v>
      </c>
      <c r="H73" s="50" t="s">
        <v>89</v>
      </c>
      <c r="I73" s="30" t="n">
        <v>58151</v>
      </c>
      <c r="J73" s="31" t="n">
        <v>6865</v>
      </c>
      <c r="K73" s="31" t="n">
        <v>139792</v>
      </c>
      <c r="L73" s="31" t="n">
        <v>222589</v>
      </c>
      <c r="M73" s="31" t="n">
        <v>164118</v>
      </c>
      <c r="N73" s="31" t="n">
        <v>129027</v>
      </c>
      <c r="O73" s="31" t="n">
        <v>899023</v>
      </c>
      <c r="P73" s="31" t="n">
        <v>66753</v>
      </c>
      <c r="Q73" s="32" t="n">
        <v>129027</v>
      </c>
      <c r="R73" s="33" t="n">
        <f aca="false">IFERROR(AVERAGEIF(C73:I73,"&gt;0"),0)</f>
        <v>58151</v>
      </c>
      <c r="S73" s="34" t="n">
        <f aca="false">IFERROR(AVERAGEIF(J73:P73,"&gt;0"),0)</f>
        <v>232595.285714286</v>
      </c>
      <c r="T73" s="88" t="n">
        <f aca="false">S73-R73</f>
        <v>174444.285714286</v>
      </c>
      <c r="U73" s="51" t="n">
        <f aca="false">IFERROR(S73/R73,"n/a")</f>
        <v>3.99985014383735</v>
      </c>
      <c r="V73" s="69" t="n">
        <f aca="false">IFERROR(S73/$C$3,0)</f>
        <v>0.00221482386063466</v>
      </c>
      <c r="W73" s="69" t="n">
        <f aca="false">IFERROR(T73/$D$4,0)</f>
        <v>0.00455199322798084</v>
      </c>
      <c r="X73" s="73" t="n">
        <f aca="false">IFERROR((V73+W73)/2,0)</f>
        <v>0.00338340854430775</v>
      </c>
      <c r="Y73" s="66" t="n">
        <v>0.982029129159088</v>
      </c>
      <c r="Z73" s="40" t="str">
        <f aca="false">IFERROR(POWER(P73/C73,1/13)-1,"n/a")</f>
        <v>n/a</v>
      </c>
      <c r="AA73" s="59" t="n">
        <f aca="false">IFERROR(POWER(P73/J73,1/6)-1,"n/a")</f>
        <v>0.46096016498022</v>
      </c>
      <c r="AB73" s="70" t="str">
        <f aca="false">IFERROR(AA73-Z73,"n/a")</f>
        <v>n/a</v>
      </c>
      <c r="AC73" s="43" t="n">
        <f aca="false">IFERROR(SLOPE(C73:P73,{1,2,3,4,5,6,7,8,9,10,11,12,13,14})/AVERAGEIF(C73:P73,"&gt;0"),"n/a")</f>
        <v>0.250206324412969</v>
      </c>
      <c r="AD73" s="43" t="n">
        <f aca="false">IFERROR(SLOPE(J73:P73,{1,2,3,4,5,6,7})/AVERAGEIF(J73:P73,"&gt;0"),"n/a")</f>
        <v>0.246375832454533</v>
      </c>
      <c r="AE73" s="46" t="n">
        <f aca="false">IFERROR(J73/I73,"n/a")</f>
        <v>0.118054719609293</v>
      </c>
      <c r="AF73" s="46" t="str">
        <f aca="false">IFERROR(J73/H73,"n/a")</f>
        <v>n/a</v>
      </c>
      <c r="AG73" s="56" t="n">
        <v>1.5689670244719</v>
      </c>
      <c r="AH73" s="47" t="s">
        <v>172</v>
      </c>
      <c r="AI73" s="60" t="n">
        <v>0.15</v>
      </c>
      <c r="AJ73" s="61" t="s">
        <v>173</v>
      </c>
    </row>
    <row r="74" customFormat="false" ht="16.5" hidden="false" customHeight="true" outlineLevel="0" collapsed="false">
      <c r="A74" s="95" t="s">
        <v>226</v>
      </c>
      <c r="B74" s="96" t="s">
        <v>227</v>
      </c>
      <c r="C74" s="30" t="n">
        <v>335493</v>
      </c>
      <c r="D74" s="30" t="n">
        <v>366323</v>
      </c>
      <c r="E74" s="30" t="n">
        <v>565097</v>
      </c>
      <c r="F74" s="30" t="n">
        <v>350253</v>
      </c>
      <c r="G74" s="30" t="n">
        <v>527704</v>
      </c>
      <c r="H74" s="30" t="n">
        <v>510320</v>
      </c>
      <c r="I74" s="30" t="n">
        <v>641158</v>
      </c>
      <c r="J74" s="31" t="n">
        <v>554250</v>
      </c>
      <c r="K74" s="31" t="n">
        <v>491803</v>
      </c>
      <c r="L74" s="31" t="n">
        <v>669855</v>
      </c>
      <c r="M74" s="31" t="n">
        <v>540750</v>
      </c>
      <c r="N74" s="31" t="n">
        <v>392640</v>
      </c>
      <c r="O74" s="31" t="n">
        <v>418138</v>
      </c>
      <c r="P74" s="31" t="n">
        <v>337208</v>
      </c>
      <c r="Q74" s="32" t="n">
        <v>392640</v>
      </c>
      <c r="R74" s="33" t="n">
        <f aca="false">IFERROR(AVERAGEIF(C74:I74,"&gt;0"),0)</f>
        <v>470906.857142857</v>
      </c>
      <c r="S74" s="34" t="n">
        <f aca="false">IFERROR(AVERAGEIF(J74:P74,"&gt;0"),0)</f>
        <v>486377.714285714</v>
      </c>
      <c r="T74" s="89" t="n">
        <f aca="false">S74-R74</f>
        <v>15470.8571428571</v>
      </c>
      <c r="U74" s="68" t="n">
        <f aca="false">IFERROR(S74/R74,"n/a")</f>
        <v>1.03285332737927</v>
      </c>
      <c r="V74" s="69" t="n">
        <f aca="false">IFERROR(S74/$C$3,0)</f>
        <v>0.00463139639125878</v>
      </c>
      <c r="W74" s="69" t="n">
        <f aca="false">IFERROR(T74/$D$4,0)</f>
        <v>0.000403700451734415</v>
      </c>
      <c r="X74" s="73" t="n">
        <f aca="false">IFERROR((V74+W74)/2,0)</f>
        <v>0.0025175484214966</v>
      </c>
      <c r="Y74" s="66" t="n">
        <v>0.984693956044377</v>
      </c>
      <c r="Z74" s="40" t="n">
        <f aca="false">IFERROR(POWER(P74/C74,1/13)-1,"n/a")</f>
        <v>0.000392296837988138</v>
      </c>
      <c r="AA74" s="41" t="n">
        <f aca="false">IFERROR(POWER(P74/J74,1/6)-1,"n/a")</f>
        <v>-0.0794825453140824</v>
      </c>
      <c r="AB74" s="42" t="n">
        <f aca="false">IFERROR(AA74-Z74,"n/a")</f>
        <v>-0.0798748421520705</v>
      </c>
      <c r="AC74" s="43" t="n">
        <f aca="false">IFERROR(SLOPE(C74:P74,{1,2,3,4,5,6,7,8,9,10,11,12,13,14})/AVERAGEIF(C74:P74,"&gt;0"),"n/a")</f>
        <v>0.00432506342114949</v>
      </c>
      <c r="AD74" s="44" t="n">
        <f aca="false">IFERROR(SLOPE(J74:P74,{1,2,3,4,5,6,7})/AVERAGEIF(J74:P74,"&gt;0"),"n/a")</f>
        <v>-0.0789855708849442</v>
      </c>
      <c r="AE74" s="46" t="n">
        <f aca="false">IFERROR(J74/I74,"n/a")</f>
        <v>0.864451508052617</v>
      </c>
      <c r="AF74" s="46" t="n">
        <f aca="false">IFERROR(J74/H74,"n/a")</f>
        <v>1.08608324188744</v>
      </c>
      <c r="AG74" s="72" t="n">
        <v>0.786758909301531</v>
      </c>
      <c r="AH74" s="47" t="s">
        <v>104</v>
      </c>
      <c r="AI74" s="48" t="n">
        <v>0.0325</v>
      </c>
      <c r="AJ74" s="49" t="s">
        <v>105</v>
      </c>
    </row>
    <row r="75" customFormat="false" ht="16.5" hidden="false" customHeight="true" outlineLevel="0" collapsed="false">
      <c r="A75" s="95" t="s">
        <v>228</v>
      </c>
      <c r="B75" s="96" t="s">
        <v>229</v>
      </c>
      <c r="C75" s="30" t="n">
        <v>6637</v>
      </c>
      <c r="D75" s="30" t="n">
        <v>12873</v>
      </c>
      <c r="E75" s="30" t="n">
        <v>1356</v>
      </c>
      <c r="F75" s="30" t="n">
        <v>2878</v>
      </c>
      <c r="G75" s="30" t="n">
        <v>29105</v>
      </c>
      <c r="H75" s="50" t="s">
        <v>89</v>
      </c>
      <c r="I75" s="30" t="n">
        <v>174</v>
      </c>
      <c r="J75" s="31" t="n">
        <v>12972</v>
      </c>
      <c r="K75" s="31" t="n">
        <v>7414</v>
      </c>
      <c r="L75" s="31" t="n">
        <v>113525</v>
      </c>
      <c r="M75" s="31" t="n">
        <v>182549</v>
      </c>
      <c r="N75" s="31" t="n">
        <v>194433</v>
      </c>
      <c r="O75" s="31" t="n">
        <v>152825</v>
      </c>
      <c r="P75" s="50" t="s">
        <v>89</v>
      </c>
      <c r="Q75" s="32" t="n">
        <v>194433</v>
      </c>
      <c r="R75" s="33" t="n">
        <f aca="false">IFERROR(AVERAGEIF(C75:I75,"&gt;0"),0)</f>
        <v>8837.16666666667</v>
      </c>
      <c r="S75" s="34" t="n">
        <f aca="false">IFERROR(AVERAGEIF(J75:P75,"&gt;0"),0)</f>
        <v>110619.666666667</v>
      </c>
      <c r="T75" s="88" t="n">
        <f aca="false">S75-R75</f>
        <v>101782.5</v>
      </c>
      <c r="U75" s="51" t="n">
        <f aca="false">IFERROR(S75/R75,"n/a")</f>
        <v>12.5175489881749</v>
      </c>
      <c r="V75" s="69" t="n">
        <f aca="false">IFERROR(S75/$C$3,0)</f>
        <v>0.00105334498262248</v>
      </c>
      <c r="W75" s="69" t="n">
        <f aca="false">IFERROR(T75/$D$4,0)</f>
        <v>0.00265593824887907</v>
      </c>
      <c r="X75" s="73" t="n">
        <f aca="false">IFERROR((V75+W75)/2,0)</f>
        <v>0.00185464161575077</v>
      </c>
      <c r="Y75" s="66" t="n">
        <v>0.986582094043891</v>
      </c>
      <c r="Z75" s="59" t="str">
        <f aca="false">IFERROR(POWER(P75/C75,1/13)-1,"n/a")</f>
        <v>n/a</v>
      </c>
      <c r="AA75" s="59" t="str">
        <f aca="false">IFERROR(POWER(P75/J75,1/6)-1,"n/a")</f>
        <v>n/a</v>
      </c>
      <c r="AB75" s="70" t="str">
        <f aca="false">IFERROR(AA75-Z75,"n/a")</f>
        <v>n/a</v>
      </c>
      <c r="AC75" s="43" t="n">
        <f aca="false">IFERROR(SLOPE(C75:P75,{1,2,3,4,5,6,7,8,9,10,11,12,13,14})/AVERAGEIF(C75:P75,"&gt;0"),"n/a")</f>
        <v>0.254630454510121</v>
      </c>
      <c r="AD75" s="43" t="n">
        <f aca="false">IFERROR(SLOPE(J75:P75,{1,2,3,4,5,6,7})/AVERAGEIF(J75:P75,"&gt;0"),"n/a")</f>
        <v>0.343350467690022</v>
      </c>
      <c r="AE75" s="54" t="n">
        <f aca="false">IFERROR(J75/I75,"n/a")</f>
        <v>74.551724137931</v>
      </c>
      <c r="AF75" s="46" t="str">
        <f aca="false">IFERROR(J75/H75,"n/a")</f>
        <v>n/a</v>
      </c>
      <c r="AG75" s="56" t="n">
        <v>1.56960335564201</v>
      </c>
      <c r="AH75" s="47" t="s">
        <v>90</v>
      </c>
      <c r="AI75" s="48" t="n">
        <v>0.025</v>
      </c>
      <c r="AJ75" s="49" t="s">
        <v>91</v>
      </c>
    </row>
    <row r="76" customFormat="false" ht="16.5" hidden="false" customHeight="true" outlineLevel="0" collapsed="false">
      <c r="A76" s="95" t="s">
        <v>230</v>
      </c>
      <c r="B76" s="96" t="s">
        <v>231</v>
      </c>
      <c r="C76" s="30" t="n">
        <v>9981</v>
      </c>
      <c r="D76" s="30" t="n">
        <v>5173</v>
      </c>
      <c r="E76" s="30" t="n">
        <v>10548</v>
      </c>
      <c r="F76" s="30" t="n">
        <v>4208</v>
      </c>
      <c r="G76" s="30" t="n">
        <v>7609</v>
      </c>
      <c r="H76" s="50" t="s">
        <v>89</v>
      </c>
      <c r="I76" s="50" t="s">
        <v>89</v>
      </c>
      <c r="J76" s="50" t="s">
        <v>89</v>
      </c>
      <c r="K76" s="31" t="n">
        <v>7684</v>
      </c>
      <c r="L76" s="31" t="n">
        <v>8177</v>
      </c>
      <c r="M76" s="31" t="n">
        <v>228490</v>
      </c>
      <c r="N76" s="31" t="n">
        <v>217988</v>
      </c>
      <c r="O76" s="31" t="n">
        <v>82842</v>
      </c>
      <c r="P76" s="31" t="n">
        <v>8306</v>
      </c>
      <c r="Q76" s="32" t="n">
        <v>217988</v>
      </c>
      <c r="R76" s="33" t="n">
        <f aca="false">IFERROR(AVERAGEIF(C76:I76,"&gt;0"),0)</f>
        <v>7503.8</v>
      </c>
      <c r="S76" s="34" t="n">
        <f aca="false">IFERROR(AVERAGEIF(J76:P76,"&gt;0"),0)</f>
        <v>92247.8333333333</v>
      </c>
      <c r="T76" s="88" t="n">
        <f aca="false">S76-R76</f>
        <v>84744.0333333333</v>
      </c>
      <c r="U76" s="51" t="n">
        <f aca="false">IFERROR(S76/R76,"n/a")</f>
        <v>12.293482413355</v>
      </c>
      <c r="V76" s="69" t="n">
        <f aca="false">IFERROR(S76/$C$3,0)</f>
        <v>0.000878404313875426</v>
      </c>
      <c r="W76" s="69" t="n">
        <f aca="false">IFERROR(T76/$D$4,0)</f>
        <v>0.00221133219850448</v>
      </c>
      <c r="X76" s="73" t="n">
        <f aca="false">IFERROR((V76+W76)/2,0)</f>
        <v>0.00154486825618995</v>
      </c>
      <c r="Y76" s="66" t="n">
        <v>0.988154895568367</v>
      </c>
      <c r="Z76" s="41" t="n">
        <f aca="false">IFERROR(POWER(P76/C76,1/13)-1,"n/a")</f>
        <v>-0.0140317883977557</v>
      </c>
      <c r="AA76" s="40" t="str">
        <f aca="false">IFERROR(POWER(P76/J76,1/6)-1,"n/a")</f>
        <v>n/a</v>
      </c>
      <c r="AB76" s="57" t="str">
        <f aca="false">IFERROR(AA76-Z76,"n/a")</f>
        <v>n/a</v>
      </c>
      <c r="AC76" s="43" t="n">
        <f aca="false">IFERROR(SLOPE(C76:P76,{1,2,3,4,5,6,7,8,9,10,11,12,13,14})/AVERAGEIF(C76:P76,"&gt;0"),"n/a")</f>
        <v>0.171340804872872</v>
      </c>
      <c r="AD76" s="43" t="n">
        <f aca="false">IFERROR(SLOPE(J76:P76,{1,2,3,4,5,6,7})/AVERAGEIF(J76:P76,"&gt;0"),"n/a")</f>
        <v>0.0670872899582879</v>
      </c>
      <c r="AE76" s="46" t="str">
        <f aca="false">IFERROR(J76/I76,"n/a")</f>
        <v>n/a</v>
      </c>
      <c r="AF76" s="46" t="str">
        <f aca="false">IFERROR(J76/H76,"n/a")</f>
        <v>n/a</v>
      </c>
      <c r="AG76" s="56" t="n">
        <v>1.11704881957481</v>
      </c>
      <c r="AH76" s="47" t="s">
        <v>172</v>
      </c>
      <c r="AI76" s="60" t="n">
        <v>0.15</v>
      </c>
      <c r="AJ76" s="61" t="s">
        <v>173</v>
      </c>
    </row>
    <row r="77" customFormat="false" ht="16.5" hidden="false" customHeight="true" outlineLevel="0" collapsed="false">
      <c r="A77" s="95" t="s">
        <v>232</v>
      </c>
      <c r="B77" s="96" t="s">
        <v>233</v>
      </c>
      <c r="C77" s="30" t="n">
        <v>15692</v>
      </c>
      <c r="D77" s="30" t="n">
        <v>31141</v>
      </c>
      <c r="E77" s="30" t="n">
        <v>14478</v>
      </c>
      <c r="F77" s="30" t="n">
        <v>6120</v>
      </c>
      <c r="G77" s="30" t="n">
        <v>4153</v>
      </c>
      <c r="H77" s="30" t="n">
        <v>10058</v>
      </c>
      <c r="I77" s="30" t="n">
        <v>13327</v>
      </c>
      <c r="J77" s="31" t="n">
        <v>21643</v>
      </c>
      <c r="K77" s="31" t="n">
        <v>22546</v>
      </c>
      <c r="L77" s="31" t="n">
        <v>28410</v>
      </c>
      <c r="M77" s="31" t="n">
        <v>52388</v>
      </c>
      <c r="N77" s="31" t="n">
        <v>89004</v>
      </c>
      <c r="O77" s="31" t="n">
        <v>133654</v>
      </c>
      <c r="P77" s="31" t="n">
        <v>265550</v>
      </c>
      <c r="Q77" s="32" t="n">
        <v>89004</v>
      </c>
      <c r="R77" s="33" t="n">
        <f aca="false">IFERROR(AVERAGEIF(C77:I77,"&gt;0"),0)</f>
        <v>13567</v>
      </c>
      <c r="S77" s="34" t="n">
        <f aca="false">IFERROR(AVERAGEIF(J77:P77,"&gt;0"),0)</f>
        <v>87599.2857142857</v>
      </c>
      <c r="T77" s="88" t="n">
        <f aca="false">S77-R77</f>
        <v>74032.2857142857</v>
      </c>
      <c r="U77" s="51" t="n">
        <f aca="false">IFERROR(S77/R77,"n/a")</f>
        <v>6.45679116343228</v>
      </c>
      <c r="V77" s="69" t="n">
        <f aca="false">IFERROR(S77/$C$3,0)</f>
        <v>0.000834139813189844</v>
      </c>
      <c r="W77" s="69" t="n">
        <f aca="false">IFERROR(T77/$D$4,0)</f>
        <v>0.00193181715206951</v>
      </c>
      <c r="X77" s="73" t="n">
        <f aca="false">IFERROR((V77+W77)/2,0)</f>
        <v>0.00138297848262968</v>
      </c>
      <c r="Y77" s="66" t="n">
        <v>0.989564399707602</v>
      </c>
      <c r="Z77" s="59" t="n">
        <f aca="false">IFERROR(POWER(P77/C77,1/13)-1,"n/a")</f>
        <v>0.243075591580914</v>
      </c>
      <c r="AA77" s="59" t="n">
        <f aca="false">IFERROR(POWER(P77/J77,1/6)-1,"n/a")</f>
        <v>0.518698186625568</v>
      </c>
      <c r="AB77" s="70" t="n">
        <f aca="false">IFERROR(AA77-Z77,"n/a")</f>
        <v>0.275622595044655</v>
      </c>
      <c r="AC77" s="43" t="n">
        <f aca="false">IFERROR(SLOPE(C77:P77,{1,2,3,4,5,6,7,8,9,10,11,12,13,14})/AVERAGEIF(C77:P77,"&gt;0"),"n/a")</f>
        <v>0.240599287518363</v>
      </c>
      <c r="AD77" s="43" t="n">
        <f aca="false">IFERROR(SLOPE(J77:P77,{1,2,3,4,5,6,7})/AVERAGEIF(J77:P77,"&gt;0"),"n/a")</f>
        <v>0.413624948018167</v>
      </c>
      <c r="AE77" s="71" t="n">
        <f aca="false">IFERROR(J77/I77,"n/a")</f>
        <v>1.62399639828919</v>
      </c>
      <c r="AF77" s="71" t="n">
        <f aca="false">IFERROR(J77/H77,"n/a")</f>
        <v>2.1518194472062</v>
      </c>
      <c r="AG77" s="56" t="n">
        <v>1.85773204282488</v>
      </c>
      <c r="AH77" s="47" t="s">
        <v>190</v>
      </c>
      <c r="AI77" s="48" t="n">
        <v>0.1</v>
      </c>
      <c r="AJ77" s="61" t="s">
        <v>191</v>
      </c>
    </row>
    <row r="78" customFormat="false" ht="16.5" hidden="false" customHeight="true" outlineLevel="0" collapsed="false">
      <c r="A78" s="95" t="s">
        <v>234</v>
      </c>
      <c r="B78" s="96" t="s">
        <v>235</v>
      </c>
      <c r="C78" s="30" t="n">
        <v>17010</v>
      </c>
      <c r="D78" s="30" t="n">
        <v>37873</v>
      </c>
      <c r="E78" s="30" t="n">
        <v>24599</v>
      </c>
      <c r="F78" s="30" t="n">
        <v>16191</v>
      </c>
      <c r="G78" s="50" t="s">
        <v>89</v>
      </c>
      <c r="H78" s="50" t="s">
        <v>89</v>
      </c>
      <c r="I78" s="50" t="s">
        <v>89</v>
      </c>
      <c r="J78" s="50" t="s">
        <v>89</v>
      </c>
      <c r="K78" s="50" t="s">
        <v>89</v>
      </c>
      <c r="L78" s="50" t="s">
        <v>89</v>
      </c>
      <c r="M78" s="31" t="n">
        <v>178000</v>
      </c>
      <c r="N78" s="50" t="s">
        <v>89</v>
      </c>
      <c r="O78" s="31" t="n">
        <v>11856</v>
      </c>
      <c r="P78" s="31" t="n">
        <v>26682</v>
      </c>
      <c r="Q78" s="50" t="s">
        <v>89</v>
      </c>
      <c r="R78" s="33" t="n">
        <f aca="false">IFERROR(AVERAGEIF(C78:I78,"&gt;0"),0)</f>
        <v>23918.25</v>
      </c>
      <c r="S78" s="34" t="n">
        <f aca="false">IFERROR(AVERAGEIF(J78:P78,"&gt;0"),0)</f>
        <v>72179.3333333333</v>
      </c>
      <c r="T78" s="89" t="n">
        <f aca="false">S78-R78</f>
        <v>48261.0833333333</v>
      </c>
      <c r="U78" s="51" t="n">
        <f aca="false">IFERROR(S78/R78,"n/a")</f>
        <v>3.01775143805811</v>
      </c>
      <c r="V78" s="69" t="n">
        <f aca="false">IFERROR(S78/$C$3,0)</f>
        <v>0.000687307609096355</v>
      </c>
      <c r="W78" s="69" t="n">
        <f aca="false">IFERROR(T78/$D$4,0)</f>
        <v>0.00125933689148272</v>
      </c>
      <c r="X78" s="73" t="n">
        <f aca="false">IFERROR((V78+W78)/2,0)</f>
        <v>0.000973322250289538</v>
      </c>
      <c r="Y78" s="66" t="n">
        <v>0.990559578348549</v>
      </c>
      <c r="Z78" s="40" t="n">
        <f aca="false">IFERROR(POWER(P78/C78,1/13)-1,"n/a")</f>
        <v>0.0352364231502298</v>
      </c>
      <c r="AA78" s="41" t="str">
        <f aca="false">IFERROR(POWER(P78/J78,1/6)-1,"n/a")</f>
        <v>n/a</v>
      </c>
      <c r="AB78" s="42" t="str">
        <f aca="false">IFERROR(AA78-Z78,"n/a")</f>
        <v>n/a</v>
      </c>
      <c r="AC78" s="43" t="n">
        <f aca="false">IFERROR(SLOPE(C78:P78,{1,2,3,4,5,6,7,8,9,10,11,12,13,14})/AVERAGEIF(C78:P78,"&gt;0"),"n/a")</f>
        <v>0.0691275646457906</v>
      </c>
      <c r="AD78" s="44" t="n">
        <f aca="false">IFERROR(SLOPE(J78:P78,{1,2,3,4,5,6,7})/AVERAGEIF(J78:P78,"&gt;0"),"n/a")</f>
        <v>-0.763392238643696</v>
      </c>
      <c r="AE78" s="46" t="str">
        <f aca="false">IFERROR(J78/I78,"n/a")</f>
        <v>n/a</v>
      </c>
      <c r="AF78" s="46" t="str">
        <f aca="false">IFERROR(J78/H78,"n/a")</f>
        <v>n/a</v>
      </c>
      <c r="AG78" s="72" t="n">
        <v>0.266960071673332</v>
      </c>
      <c r="AH78" s="47" t="s">
        <v>90</v>
      </c>
      <c r="AI78" s="48" t="n">
        <v>0.025</v>
      </c>
      <c r="AJ78" s="49" t="s">
        <v>91</v>
      </c>
    </row>
    <row r="79" customFormat="false" ht="16.5" hidden="false" customHeight="true" outlineLevel="0" collapsed="false">
      <c r="A79" s="95" t="s">
        <v>236</v>
      </c>
      <c r="B79" s="96" t="s">
        <v>237</v>
      </c>
      <c r="C79" s="30" t="n">
        <v>30718</v>
      </c>
      <c r="D79" s="50" t="s">
        <v>89</v>
      </c>
      <c r="E79" s="50" t="s">
        <v>89</v>
      </c>
      <c r="F79" s="30" t="n">
        <v>30513</v>
      </c>
      <c r="G79" s="30" t="n">
        <v>15722</v>
      </c>
      <c r="H79" s="30" t="n">
        <v>57104</v>
      </c>
      <c r="I79" s="30" t="n">
        <v>154345</v>
      </c>
      <c r="J79" s="31" t="n">
        <v>385245</v>
      </c>
      <c r="K79" s="31" t="n">
        <v>230288</v>
      </c>
      <c r="L79" s="31" t="n">
        <v>14474</v>
      </c>
      <c r="M79" s="31" t="n">
        <v>12006</v>
      </c>
      <c r="N79" s="31" t="n">
        <v>7941</v>
      </c>
      <c r="O79" s="31" t="n">
        <v>14100</v>
      </c>
      <c r="P79" s="31" t="n">
        <v>4657</v>
      </c>
      <c r="Q79" s="32" t="n">
        <v>7941</v>
      </c>
      <c r="R79" s="33" t="n">
        <f aca="false">IFERROR(AVERAGEIF(C79:I79,"&gt;0"),0)</f>
        <v>57680.4</v>
      </c>
      <c r="S79" s="34" t="n">
        <f aca="false">IFERROR(AVERAGEIF(J79:P79,"&gt;0"),0)</f>
        <v>95530.1428571429</v>
      </c>
      <c r="T79" s="89" t="n">
        <f aca="false">S79-R79</f>
        <v>37849.7428571429</v>
      </c>
      <c r="U79" s="36" t="n">
        <f aca="false">IFERROR(S79/R79,"n/a")</f>
        <v>1.65619764871851</v>
      </c>
      <c r="V79" s="69" t="n">
        <f aca="false">IFERROR(S79/$C$3,0)</f>
        <v>0.000909659192618978</v>
      </c>
      <c r="W79" s="69" t="n">
        <f aca="false">IFERROR(T79/$D$4,0)</f>
        <v>0.000987660744867958</v>
      </c>
      <c r="X79" s="73" t="n">
        <f aca="false">IFERROR((V79+W79)/2,0)</f>
        <v>0.000948659968743468</v>
      </c>
      <c r="Y79" s="66" t="n">
        <v>0.991537165491118</v>
      </c>
      <c r="Z79" s="41" t="n">
        <f aca="false">IFERROR(POWER(P79/C79,1/13)-1,"n/a")</f>
        <v>-0.135076003634523</v>
      </c>
      <c r="AA79" s="41" t="n">
        <f aca="false">IFERROR(POWER(P79/J79,1/6)-1,"n/a")</f>
        <v>-0.520934527570401</v>
      </c>
      <c r="AB79" s="42" t="n">
        <f aca="false">IFERROR(AA79-Z79,"n/a")</f>
        <v>-0.385858523935877</v>
      </c>
      <c r="AC79" s="44" t="n">
        <f aca="false">IFERROR(SLOPE(C79:P79,{1,2,3,4,5,6,7,8,9,10,11,12,13,14})/AVERAGEIF(C79:P79,"&gt;0"),"n/a")</f>
        <v>-0.0406143328205277</v>
      </c>
      <c r="AD79" s="44" t="n">
        <f aca="false">IFERROR(SLOPE(J79:P79,{1,2,3,4,5,6,7})/AVERAGEIF(J79:P79,"&gt;0"),"n/a")</f>
        <v>-0.590940256702821</v>
      </c>
      <c r="AE79" s="83" t="n">
        <f aca="false">IFERROR(J79/I79,"n/a")</f>
        <v>2.49599922252098</v>
      </c>
      <c r="AF79" s="55" t="n">
        <f aca="false">IFERROR(J79/H79,"n/a")</f>
        <v>6.74637503502382</v>
      </c>
      <c r="AG79" s="72" t="n">
        <v>0.0931573330382382</v>
      </c>
      <c r="AH79" s="47" t="s">
        <v>90</v>
      </c>
      <c r="AI79" s="48" t="n">
        <v>0.025</v>
      </c>
      <c r="AJ79" s="49" t="s">
        <v>91</v>
      </c>
    </row>
    <row r="80" customFormat="false" ht="16.5" hidden="false" customHeight="true" outlineLevel="0" collapsed="false">
      <c r="A80" s="95" t="s">
        <v>238</v>
      </c>
      <c r="B80" s="96" t="s">
        <v>239</v>
      </c>
      <c r="C80" s="30" t="n">
        <v>44354</v>
      </c>
      <c r="D80" s="30" t="n">
        <v>21723</v>
      </c>
      <c r="E80" s="30" t="n">
        <v>7683</v>
      </c>
      <c r="F80" s="30" t="n">
        <v>25644</v>
      </c>
      <c r="G80" s="30" t="n">
        <v>7582</v>
      </c>
      <c r="H80" s="30" t="n">
        <v>12073</v>
      </c>
      <c r="I80" s="30" t="n">
        <v>70810</v>
      </c>
      <c r="J80" s="31" t="n">
        <v>68475</v>
      </c>
      <c r="K80" s="31" t="n">
        <v>37310</v>
      </c>
      <c r="L80" s="31" t="n">
        <v>27551</v>
      </c>
      <c r="M80" s="31" t="n">
        <v>227759</v>
      </c>
      <c r="N80" s="31" t="n">
        <v>30569</v>
      </c>
      <c r="O80" s="31" t="n">
        <v>17971</v>
      </c>
      <c r="P80" s="31" t="n">
        <v>62140</v>
      </c>
      <c r="Q80" s="32" t="n">
        <v>30569</v>
      </c>
      <c r="R80" s="33" t="n">
        <f aca="false">IFERROR(AVERAGEIF(C80:I80,"&gt;0"),0)</f>
        <v>27124.1428571429</v>
      </c>
      <c r="S80" s="34" t="n">
        <f aca="false">IFERROR(AVERAGEIF(J80:P80,"&gt;0"),0)</f>
        <v>67396.4285714286</v>
      </c>
      <c r="T80" s="89" t="n">
        <f aca="false">S80-R80</f>
        <v>40272.2857142857</v>
      </c>
      <c r="U80" s="51" t="n">
        <f aca="false">IFERROR(S80/R80,"n/a")</f>
        <v>2.48473947827186</v>
      </c>
      <c r="V80" s="69" t="n">
        <f aca="false">IFERROR(S80/$C$3,0)</f>
        <v>0.000641763729918931</v>
      </c>
      <c r="W80" s="69" t="n">
        <f aca="false">IFERROR(T80/$D$4,0)</f>
        <v>0.0010508751897267</v>
      </c>
      <c r="X80" s="73" t="n">
        <f aca="false">IFERROR((V80+W80)/2,0)</f>
        <v>0.000846319459822813</v>
      </c>
      <c r="Y80" s="66" t="n">
        <v>0.992403893045665</v>
      </c>
      <c r="Z80" s="40" t="n">
        <f aca="false">IFERROR(POWER(P80/C80,1/13)-1,"n/a")</f>
        <v>0.0262767652979912</v>
      </c>
      <c r="AA80" s="41" t="n">
        <f aca="false">IFERROR(POWER(P80/J80,1/6)-1,"n/a")</f>
        <v>-0.0160496119644834</v>
      </c>
      <c r="AB80" s="42" t="n">
        <f aca="false">IFERROR(AA80-Z80,"n/a")</f>
        <v>-0.0423263772624746</v>
      </c>
      <c r="AC80" s="43" t="n">
        <f aca="false">IFERROR(SLOPE(C80:P80,{1,2,3,4,5,6,7,8,9,10,11,12,13,14})/AVERAGEIF(C80:P80,"&gt;0"),"n/a")</f>
        <v>0.092261839157753</v>
      </c>
      <c r="AD80" s="44" t="n">
        <f aca="false">IFERROR(SLOPE(J80:P80,{1,2,3,4,5,6,7})/AVERAGEIF(J80:P80,"&gt;0"),"n/a")</f>
        <v>-0.0289677282602936</v>
      </c>
      <c r="AE80" s="46" t="n">
        <f aca="false">IFERROR(J80/I80,"n/a")</f>
        <v>0.967024431577461</v>
      </c>
      <c r="AF80" s="55" t="n">
        <f aca="false">IFERROR(J80/H80,"n/a")</f>
        <v>5.67174687318811</v>
      </c>
      <c r="AG80" s="72" t="n">
        <v>0.547407839188879</v>
      </c>
      <c r="AH80" s="47" t="s">
        <v>136</v>
      </c>
      <c r="AI80" s="48" t="n">
        <v>0.05</v>
      </c>
      <c r="AJ80" s="49" t="s">
        <v>137</v>
      </c>
    </row>
    <row r="81" customFormat="false" ht="16.5" hidden="false" customHeight="true" outlineLevel="0" collapsed="false">
      <c r="A81" s="95" t="s">
        <v>240</v>
      </c>
      <c r="B81" s="96" t="s">
        <v>241</v>
      </c>
      <c r="C81" s="50" t="s">
        <v>89</v>
      </c>
      <c r="D81" s="30" t="n">
        <v>42792</v>
      </c>
      <c r="E81" s="30" t="n">
        <v>79913</v>
      </c>
      <c r="F81" s="30" t="n">
        <v>377245</v>
      </c>
      <c r="G81" s="30" t="n">
        <v>247964</v>
      </c>
      <c r="H81" s="30" t="n">
        <v>56983</v>
      </c>
      <c r="I81" s="30" t="n">
        <v>5760</v>
      </c>
      <c r="J81" s="50" t="s">
        <v>89</v>
      </c>
      <c r="K81" s="31" t="n">
        <v>255552</v>
      </c>
      <c r="L81" s="31" t="n">
        <v>228787</v>
      </c>
      <c r="M81" s="50" t="s">
        <v>89</v>
      </c>
      <c r="N81" s="31" t="n">
        <v>8850</v>
      </c>
      <c r="O81" s="31" t="n">
        <v>84490</v>
      </c>
      <c r="P81" s="31" t="n">
        <v>136610</v>
      </c>
      <c r="Q81" s="32" t="n">
        <v>8850</v>
      </c>
      <c r="R81" s="33" t="n">
        <f aca="false">IFERROR(AVERAGEIF(C81:I81,"&gt;0"),0)</f>
        <v>135109.5</v>
      </c>
      <c r="S81" s="34" t="n">
        <f aca="false">IFERROR(AVERAGEIF(J81:P81,"&gt;0"),0)</f>
        <v>142857.8</v>
      </c>
      <c r="T81" s="89" t="n">
        <f aca="false">S81-R81</f>
        <v>7748.29999999999</v>
      </c>
      <c r="U81" s="68" t="n">
        <f aca="false">IFERROR(S81/R81,"n/a")</f>
        <v>1.05734829897231</v>
      </c>
      <c r="V81" s="69" t="n">
        <f aca="false">IFERROR(S81/$C$3,0)</f>
        <v>0.00136032363315582</v>
      </c>
      <c r="W81" s="69" t="n">
        <f aca="false">IFERROR(T81/$D$4,0)</f>
        <v>0.000202186096173602</v>
      </c>
      <c r="X81" s="73" t="n">
        <f aca="false">IFERROR((V81+W81)/2,0)</f>
        <v>0.000781254864664712</v>
      </c>
      <c r="Y81" s="66" t="n">
        <v>0.993228406219062</v>
      </c>
      <c r="Z81" s="53" t="str">
        <f aca="false">IFERROR(POWER(P81/C81,1/13)-1,"n/a")</f>
        <v>n/a</v>
      </c>
      <c r="AA81" s="41" t="str">
        <f aca="false">IFERROR(POWER(P81/J81,1/6)-1,"n/a")</f>
        <v>n/a</v>
      </c>
      <c r="AB81" s="42" t="str">
        <f aca="false">IFERROR(AA81-Z81,"n/a")</f>
        <v>n/a</v>
      </c>
      <c r="AC81" s="44" t="n">
        <f aca="false">IFERROR(SLOPE(C81:P81,{1,2,3,4,5,6,7,8,9,10,11,12,13,14})/AVERAGEIF(C81:P81,"&gt;0"),"n/a")</f>
        <v>-0.0260741280514898</v>
      </c>
      <c r="AD81" s="44" t="n">
        <f aca="false">IFERROR(SLOPE(J81:P81,{1,2,3,4,5,6,7})/AVERAGEIF(J81:P81,"&gt;0"),"n/a")</f>
        <v>-0.236372796406067</v>
      </c>
      <c r="AE81" s="46" t="str">
        <f aca="false">IFERROR(J81/I81,"n/a")</f>
        <v>n/a</v>
      </c>
      <c r="AF81" s="46" t="str">
        <f aca="false">IFERROR(J81/H81,"n/a")</f>
        <v>n/a</v>
      </c>
      <c r="AG81" s="72" t="n">
        <v>0.536547531881353</v>
      </c>
      <c r="AH81" s="47" t="s">
        <v>152</v>
      </c>
      <c r="AI81" s="60" t="n">
        <v>0.25</v>
      </c>
      <c r="AJ81" s="61" t="s">
        <v>153</v>
      </c>
    </row>
    <row r="82" customFormat="false" ht="16.5" hidden="false" customHeight="true" outlineLevel="0" collapsed="false">
      <c r="A82" s="95" t="s">
        <v>242</v>
      </c>
      <c r="B82" s="96" t="s">
        <v>243</v>
      </c>
      <c r="C82" s="30" t="n">
        <v>62216</v>
      </c>
      <c r="D82" s="30" t="n">
        <v>69546</v>
      </c>
      <c r="E82" s="30" t="n">
        <v>88698</v>
      </c>
      <c r="F82" s="30" t="n">
        <v>16660</v>
      </c>
      <c r="G82" s="30" t="n">
        <v>56156</v>
      </c>
      <c r="H82" s="30" t="n">
        <v>185857</v>
      </c>
      <c r="I82" s="30" t="n">
        <v>203315</v>
      </c>
      <c r="J82" s="31" t="n">
        <v>192050</v>
      </c>
      <c r="K82" s="31" t="n">
        <v>95847</v>
      </c>
      <c r="L82" s="31" t="n">
        <v>174645</v>
      </c>
      <c r="M82" s="31" t="n">
        <v>129681</v>
      </c>
      <c r="N82" s="31" t="n">
        <v>68228</v>
      </c>
      <c r="O82" s="31" t="n">
        <v>91558</v>
      </c>
      <c r="P82" s="31" t="n">
        <v>40410</v>
      </c>
      <c r="Q82" s="32" t="n">
        <v>68228</v>
      </c>
      <c r="R82" s="33" t="n">
        <f aca="false">IFERROR(AVERAGEIF(C82:I82,"&gt;0"),0)</f>
        <v>97492.5714285714</v>
      </c>
      <c r="S82" s="34" t="n">
        <f aca="false">IFERROR(AVERAGEIF(J82:P82,"&gt;0"),0)</f>
        <v>113202.714285714</v>
      </c>
      <c r="T82" s="89" t="n">
        <f aca="false">S82-R82</f>
        <v>15710.1428571429</v>
      </c>
      <c r="U82" s="68" t="n">
        <f aca="false">IFERROR(S82/R82,"n/a")</f>
        <v>1.16114194781141</v>
      </c>
      <c r="V82" s="69" t="n">
        <f aca="false">IFERROR(S82/$C$3,0)</f>
        <v>0.00107794133453157</v>
      </c>
      <c r="W82" s="69" t="n">
        <f aca="false">IFERROR(T82/$D$4,0)</f>
        <v>0.000409944433568049</v>
      </c>
      <c r="X82" s="73" t="n">
        <f aca="false">IFERROR((V82+W82)/2,0)</f>
        <v>0.000743942884049807</v>
      </c>
      <c r="Y82" s="66" t="n">
        <v>0.994006627651177</v>
      </c>
      <c r="Z82" s="41" t="n">
        <f aca="false">IFERROR(POWER(P82/C82,1/13)-1,"n/a")</f>
        <v>-0.0326500862543487</v>
      </c>
      <c r="AA82" s="41" t="n">
        <f aca="false">IFERROR(POWER(P82/J82,1/6)-1,"n/a")</f>
        <v>-0.228778568258157</v>
      </c>
      <c r="AB82" s="42" t="n">
        <f aca="false">IFERROR(AA82-Z82,"n/a")</f>
        <v>-0.196128482003808</v>
      </c>
      <c r="AC82" s="43" t="n">
        <f aca="false">IFERROR(SLOPE(C82:P82,{1,2,3,4,5,6,7,8,9,10,11,12,13,14})/AVERAGEIF(C82:P82,"&gt;0"),"n/a")</f>
        <v>0.0182904836634292</v>
      </c>
      <c r="AD82" s="44" t="n">
        <f aca="false">IFERROR(SLOPE(J82:P82,{1,2,3,4,5,6,7})/AVERAGEIF(J82:P82,"&gt;0"),"n/a")</f>
        <v>-0.179802288940573</v>
      </c>
      <c r="AE82" s="46" t="n">
        <f aca="false">IFERROR(J82/I82,"n/a")</f>
        <v>0.944593364975531</v>
      </c>
      <c r="AF82" s="46" t="n">
        <f aca="false">IFERROR(J82/H82,"n/a")</f>
        <v>1.03332131692645</v>
      </c>
      <c r="AG82" s="72" t="n">
        <v>0.589491165658572</v>
      </c>
      <c r="AH82" s="47" t="s">
        <v>148</v>
      </c>
      <c r="AI82" s="48" t="n">
        <v>0.06</v>
      </c>
      <c r="AJ82" s="49" t="s">
        <v>149</v>
      </c>
    </row>
    <row r="83" customFormat="false" ht="16.5" hidden="false" customHeight="true" outlineLevel="0" collapsed="false">
      <c r="A83" s="95" t="s">
        <v>244</v>
      </c>
      <c r="B83" s="96" t="s">
        <v>245</v>
      </c>
      <c r="C83" s="50" t="s">
        <v>89</v>
      </c>
      <c r="D83" s="30" t="n">
        <v>14093</v>
      </c>
      <c r="E83" s="30" t="n">
        <v>10447</v>
      </c>
      <c r="F83" s="30" t="n">
        <v>4434</v>
      </c>
      <c r="G83" s="30" t="n">
        <v>13901</v>
      </c>
      <c r="H83" s="30" t="n">
        <v>29546</v>
      </c>
      <c r="I83" s="30" t="n">
        <v>84084</v>
      </c>
      <c r="J83" s="31" t="n">
        <v>120768</v>
      </c>
      <c r="K83" s="31" t="n">
        <v>35235</v>
      </c>
      <c r="L83" s="31" t="n">
        <v>38444</v>
      </c>
      <c r="M83" s="31" t="n">
        <v>150157</v>
      </c>
      <c r="N83" s="31" t="n">
        <v>46476</v>
      </c>
      <c r="O83" s="31" t="n">
        <v>33478</v>
      </c>
      <c r="P83" s="31" t="n">
        <v>7144</v>
      </c>
      <c r="Q83" s="32" t="n">
        <v>46476</v>
      </c>
      <c r="R83" s="33" t="n">
        <f aca="false">IFERROR(AVERAGEIF(C83:I83,"&gt;0"),0)</f>
        <v>26084.1666666667</v>
      </c>
      <c r="S83" s="34" t="n">
        <f aca="false">IFERROR(AVERAGEIF(J83:P83,"&gt;0"),0)</f>
        <v>61671.7142857143</v>
      </c>
      <c r="T83" s="89" t="n">
        <f aca="false">S83-R83</f>
        <v>35587.5476190476</v>
      </c>
      <c r="U83" s="51" t="n">
        <f aca="false">IFERROR(S83/R83,"n/a")</f>
        <v>2.36433523347041</v>
      </c>
      <c r="V83" s="69" t="n">
        <f aca="false">IFERROR(S83/$C$3,0)</f>
        <v>0.000587251731722669</v>
      </c>
      <c r="W83" s="69" t="n">
        <f aca="false">IFERROR(T83/$D$4,0)</f>
        <v>0.000928630451258652</v>
      </c>
      <c r="X83" s="73" t="n">
        <f aca="false">IFERROR((V83+W83)/2,0)</f>
        <v>0.000757941091490661</v>
      </c>
      <c r="Y83" s="66" t="n">
        <v>0.99478324335516</v>
      </c>
      <c r="Z83" s="41" t="str">
        <f aca="false">IFERROR(POWER(P83/C83,1/13)-1,"n/a")</f>
        <v>n/a</v>
      </c>
      <c r="AA83" s="41" t="n">
        <f aca="false">IFERROR(POWER(P83/J83,1/6)-1,"n/a")</f>
        <v>-0.375788744667346</v>
      </c>
      <c r="AB83" s="42" t="str">
        <f aca="false">IFERROR(AA83-Z83,"n/a")</f>
        <v>n/a</v>
      </c>
      <c r="AC83" s="43" t="n">
        <f aca="false">IFERROR(SLOPE(C83:P83,{1,2,3,4,5,6,7,8,9,10,11,12,13,14})/AVERAGEIF(C83:P83,"&gt;0"),"n/a")</f>
        <v>0.0752096747282116</v>
      </c>
      <c r="AD83" s="44" t="n">
        <f aca="false">IFERROR(SLOPE(J83:P83,{1,2,3,4,5,6,7})/AVERAGEIF(J83:P83,"&gt;0"),"n/a")</f>
        <v>-0.194783670216955</v>
      </c>
      <c r="AE83" s="45" t="n">
        <f aca="false">IFERROR(J83/I83,"n/a")</f>
        <v>1.43627800770658</v>
      </c>
      <c r="AF83" s="55" t="n">
        <f aca="false">IFERROR(J83/H83,"n/a")</f>
        <v>4.08745684695052</v>
      </c>
      <c r="AG83" s="72" t="n">
        <v>0.470761466628986</v>
      </c>
      <c r="AH83" s="47" t="s">
        <v>136</v>
      </c>
      <c r="AI83" s="48" t="n">
        <v>0.05</v>
      </c>
      <c r="AJ83" s="49" t="s">
        <v>137</v>
      </c>
    </row>
    <row r="84" customFormat="false" ht="16.5" hidden="false" customHeight="true" outlineLevel="0" collapsed="false">
      <c r="A84" s="95" t="s">
        <v>246</v>
      </c>
      <c r="B84" s="96" t="s">
        <v>247</v>
      </c>
      <c r="C84" s="30" t="n">
        <v>1850</v>
      </c>
      <c r="D84" s="50" t="s">
        <v>89</v>
      </c>
      <c r="E84" s="30" t="n">
        <v>12500</v>
      </c>
      <c r="F84" s="50" t="s">
        <v>89</v>
      </c>
      <c r="G84" s="30" t="n">
        <v>2045</v>
      </c>
      <c r="H84" s="30" t="n">
        <v>4460</v>
      </c>
      <c r="I84" s="30" t="n">
        <v>6839</v>
      </c>
      <c r="J84" s="31" t="n">
        <v>70810</v>
      </c>
      <c r="K84" s="50" t="s">
        <v>89</v>
      </c>
      <c r="L84" s="50" t="s">
        <v>89</v>
      </c>
      <c r="M84" s="50" t="s">
        <v>89</v>
      </c>
      <c r="N84" s="31" t="n">
        <v>7803</v>
      </c>
      <c r="O84" s="50" t="s">
        <v>89</v>
      </c>
      <c r="P84" s="50" t="s">
        <v>89</v>
      </c>
      <c r="Q84" s="32" t="n">
        <v>7803</v>
      </c>
      <c r="R84" s="33" t="n">
        <f aca="false">IFERROR(AVERAGEIF(C84:I84,"&gt;0"),0)</f>
        <v>5538.8</v>
      </c>
      <c r="S84" s="34" t="n">
        <f aca="false">IFERROR(AVERAGEIF(J84:P84,"&gt;0"),0)</f>
        <v>39306.5</v>
      </c>
      <c r="T84" s="89" t="n">
        <f aca="false">S84-R84</f>
        <v>33767.7</v>
      </c>
      <c r="U84" s="51" t="n">
        <f aca="false">IFERROR(S84/R84,"n/a")</f>
        <v>7.09657326496714</v>
      </c>
      <c r="V84" s="69" t="n">
        <f aca="false">IFERROR(S84/$C$3,0)</f>
        <v>0.000374285204494535</v>
      </c>
      <c r="W84" s="69" t="n">
        <f aca="false">IFERROR(T84/$D$4,0)</f>
        <v>0.000881142888086593</v>
      </c>
      <c r="X84" s="73" t="n">
        <f aca="false">IFERROR((V84+W84)/2,0)</f>
        <v>0.000627714046290564</v>
      </c>
      <c r="Y84" s="66" t="n">
        <v>0.995422859675686</v>
      </c>
      <c r="Z84" s="53" t="str">
        <f aca="false">IFERROR(POWER(P84/C84,1/13)-1,"n/a")</f>
        <v>n/a</v>
      </c>
      <c r="AA84" s="41" t="str">
        <f aca="false">IFERROR(POWER(P84/J84,1/6)-1,"n/a")</f>
        <v>n/a</v>
      </c>
      <c r="AB84" s="42" t="str">
        <f aca="false">IFERROR(AA84-Z84,"n/a")</f>
        <v>n/a</v>
      </c>
      <c r="AC84" s="43" t="n">
        <f aca="false">IFERROR(SLOPE(C84:P84,{1,2,3,4,5,6,7,8,9,10,11,12,13,14})/AVERAGEIF(C84:P84,"&gt;0"),"n/a")</f>
        <v>0.126913215102437</v>
      </c>
      <c r="AD84" s="90" t="n">
        <f aca="false">IFERROR(SLOPE(J84:P84,{1,2,3,4,5,6,7})/AVERAGEIF(J84:P84,"&gt;0"),"n/a")</f>
        <v>-0.400741607622149</v>
      </c>
      <c r="AE84" s="54" t="n">
        <f aca="false">IFERROR(J84/I84,"n/a")</f>
        <v>10.3538529024711</v>
      </c>
      <c r="AF84" s="55" t="n">
        <f aca="false">IFERROR(J84/H84,"n/a")</f>
        <v>15.8766816143498</v>
      </c>
      <c r="AG84" s="72" t="n">
        <v>0.198516784755702</v>
      </c>
      <c r="AH84" s="74" t="s">
        <v>162</v>
      </c>
      <c r="AI84" s="75" t="s">
        <v>117</v>
      </c>
      <c r="AJ84" s="75" t="s">
        <v>89</v>
      </c>
    </row>
    <row r="85" customFormat="false" ht="16.5" hidden="false" customHeight="true" outlineLevel="0" collapsed="false">
      <c r="A85" s="95" t="s">
        <v>248</v>
      </c>
      <c r="B85" s="96" t="s">
        <v>249</v>
      </c>
      <c r="C85" s="30" t="n">
        <v>240</v>
      </c>
      <c r="D85" s="50" t="s">
        <v>89</v>
      </c>
      <c r="E85" s="50" t="s">
        <v>89</v>
      </c>
      <c r="F85" s="50" t="s">
        <v>89</v>
      </c>
      <c r="G85" s="30" t="n">
        <v>14230</v>
      </c>
      <c r="H85" s="30" t="n">
        <v>48819</v>
      </c>
      <c r="I85" s="30" t="n">
        <v>4471</v>
      </c>
      <c r="J85" s="31" t="n">
        <v>1152</v>
      </c>
      <c r="K85" s="50" t="s">
        <v>89</v>
      </c>
      <c r="L85" s="31" t="n">
        <v>838</v>
      </c>
      <c r="M85" s="31" t="n">
        <v>222991</v>
      </c>
      <c r="N85" s="31" t="n">
        <v>2064</v>
      </c>
      <c r="O85" s="31" t="n">
        <v>165</v>
      </c>
      <c r="P85" s="31" t="n">
        <v>2040</v>
      </c>
      <c r="Q85" s="32" t="n">
        <v>2064</v>
      </c>
      <c r="R85" s="33" t="n">
        <f aca="false">IFERROR(AVERAGEIF(C85:I85,"&gt;0"),0)</f>
        <v>16940</v>
      </c>
      <c r="S85" s="34" t="n">
        <f aca="false">IFERROR(AVERAGEIF(J85:P85,"&gt;0"),0)</f>
        <v>38208.3333333333</v>
      </c>
      <c r="T85" s="89" t="n">
        <f aca="false">S85-R85</f>
        <v>21268.3333333333</v>
      </c>
      <c r="U85" s="51" t="n">
        <f aca="false">IFERROR(S85/R85,"n/a")</f>
        <v>2.25550964187328</v>
      </c>
      <c r="V85" s="69" t="n">
        <f aca="false">IFERROR(S85/$C$3,0)</f>
        <v>0.000363828218107998</v>
      </c>
      <c r="W85" s="69" t="n">
        <f aca="false">IFERROR(T85/$D$4,0)</f>
        <v>0.000554981258958167</v>
      </c>
      <c r="X85" s="73" t="n">
        <f aca="false">IFERROR((V85+W85)/2,0)</f>
        <v>0.000459404738533082</v>
      </c>
      <c r="Y85" s="66" t="n">
        <v>0.995893834156154</v>
      </c>
      <c r="Z85" s="53" t="n">
        <f aca="false">IFERROR(POWER(P85/C85,1/13)-1,"n/a")</f>
        <v>0.178945593423451</v>
      </c>
      <c r="AA85" s="53" t="n">
        <f aca="false">IFERROR(POWER(P85/J85,1/6)-1,"n/a")</f>
        <v>0.0999246831506055</v>
      </c>
      <c r="AB85" s="42" t="n">
        <f aca="false">IFERROR(AA85-Z85,"n/a")</f>
        <v>-0.0790209102728459</v>
      </c>
      <c r="AC85" s="43" t="n">
        <f aca="false">IFERROR(SLOPE(C85:P85,{1,2,3,4,5,6,7,8,9,10,11,12,13,14})/AVERAGEIF(C85:P85,"&gt;0"),"n/a")</f>
        <v>0.076745995611767</v>
      </c>
      <c r="AD85" s="44" t="n">
        <f aca="false">IFERROR(SLOPE(J85:P85,{1,2,3,4,5,6,7})/AVERAGEIF(J85:P85,"&gt;0"),"n/a")</f>
        <v>-0.0809808381367814</v>
      </c>
      <c r="AE85" s="46" t="n">
        <f aca="false">IFERROR(J85/I85,"n/a")</f>
        <v>0.257660478640125</v>
      </c>
      <c r="AF85" s="46" t="n">
        <f aca="false">IFERROR(J85/H85,"n/a")</f>
        <v>0.0235973698764825</v>
      </c>
      <c r="AG85" s="72" t="n">
        <v>0.0372431842966194</v>
      </c>
      <c r="AH85" s="47" t="s">
        <v>112</v>
      </c>
      <c r="AI85" s="48" t="n">
        <v>0.035</v>
      </c>
      <c r="AJ85" s="49" t="s">
        <v>113</v>
      </c>
    </row>
    <row r="86" customFormat="false" ht="16.5" hidden="false" customHeight="true" outlineLevel="0" collapsed="false">
      <c r="A86" s="95" t="s">
        <v>250</v>
      </c>
      <c r="B86" s="96" t="s">
        <v>251</v>
      </c>
      <c r="C86" s="50" t="s">
        <v>89</v>
      </c>
      <c r="D86" s="30" t="n">
        <v>588</v>
      </c>
      <c r="E86" s="50" t="s">
        <v>89</v>
      </c>
      <c r="F86" s="30" t="n">
        <v>948</v>
      </c>
      <c r="G86" s="50" t="s">
        <v>89</v>
      </c>
      <c r="H86" s="30" t="n">
        <v>43737</v>
      </c>
      <c r="I86" s="30" t="n">
        <v>333</v>
      </c>
      <c r="J86" s="31" t="n">
        <v>1166</v>
      </c>
      <c r="K86" s="31" t="n">
        <v>2427</v>
      </c>
      <c r="L86" s="50" t="s">
        <v>89</v>
      </c>
      <c r="M86" s="31" t="n">
        <v>826</v>
      </c>
      <c r="N86" s="50" t="s">
        <v>89</v>
      </c>
      <c r="O86" s="31" t="n">
        <v>38833</v>
      </c>
      <c r="P86" s="31" t="n">
        <v>125380</v>
      </c>
      <c r="Q86" s="50" t="s">
        <v>89</v>
      </c>
      <c r="R86" s="33" t="n">
        <f aca="false">IFERROR(AVERAGEIF(C86:I86,"&gt;0"),0)</f>
        <v>11401.5</v>
      </c>
      <c r="S86" s="34" t="n">
        <f aca="false">IFERROR(AVERAGEIF(J86:P86,"&gt;0"),0)</f>
        <v>33726.4</v>
      </c>
      <c r="T86" s="89" t="n">
        <f aca="false">S86-R86</f>
        <v>22324.9</v>
      </c>
      <c r="U86" s="51" t="n">
        <f aca="false">IFERROR(S86/R86,"n/a")</f>
        <v>2.95806692101916</v>
      </c>
      <c r="V86" s="69" t="n">
        <f aca="false">IFERROR(S86/$C$3,0)</f>
        <v>0.00032115025557769</v>
      </c>
      <c r="W86" s="69" t="n">
        <f aca="false">IFERROR(T86/$D$4,0)</f>
        <v>0.000582551576276868</v>
      </c>
      <c r="X86" s="73" t="n">
        <f aca="false">IFERROR((V86+W86)/2,0)</f>
        <v>0.000451850915927279</v>
      </c>
      <c r="Y86" s="66" t="n">
        <v>0.996355897654269</v>
      </c>
      <c r="Z86" s="59" t="str">
        <f aca="false">IFERROR(POWER(P86/C86,1/13)-1,"n/a")</f>
        <v>n/a</v>
      </c>
      <c r="AA86" s="59" t="n">
        <f aca="false">IFERROR(POWER(P86/J86,1/6)-1,"n/a")</f>
        <v>1.18066164940512</v>
      </c>
      <c r="AB86" s="70" t="str">
        <f aca="false">IFERROR(AA86-Z86,"n/a")</f>
        <v>n/a</v>
      </c>
      <c r="AC86" s="43" t="n">
        <f aca="false">IFERROR(SLOPE(C86:P86,{1,2,3,4,5,6,7,8,9,10,11,12,13,14})/AVERAGEIF(C86:P86,"&gt;0"),"n/a")</f>
        <v>0.266310432602668</v>
      </c>
      <c r="AD86" s="43" t="n">
        <f aca="false">IFERROR(SLOPE(J86:P86,{1,2,3,4,5,6,7})/AVERAGEIF(J86:P86,"&gt;0"),"n/a")</f>
        <v>0.50799510632164</v>
      </c>
      <c r="AE86" s="54" t="n">
        <f aca="false">IFERROR(J86/I86,"n/a")</f>
        <v>3.5015015015015</v>
      </c>
      <c r="AF86" s="46" t="n">
        <f aca="false">IFERROR(J86/H86,"n/a")</f>
        <v>0.0266593502069186</v>
      </c>
      <c r="AG86" s="56" t="n">
        <v>2.43448752312728</v>
      </c>
      <c r="AH86" s="47" t="s">
        <v>136</v>
      </c>
      <c r="AI86" s="48" t="n">
        <v>0.05</v>
      </c>
      <c r="AJ86" s="49" t="s">
        <v>137</v>
      </c>
    </row>
    <row r="87" customFormat="false" ht="16.5" hidden="false" customHeight="true" outlineLevel="0" collapsed="false">
      <c r="A87" s="95" t="s">
        <v>252</v>
      </c>
      <c r="B87" s="96" t="s">
        <v>253</v>
      </c>
      <c r="C87" s="30" t="n">
        <v>1401</v>
      </c>
      <c r="D87" s="30" t="n">
        <v>6865</v>
      </c>
      <c r="E87" s="30" t="n">
        <v>108</v>
      </c>
      <c r="F87" s="30" t="n">
        <v>4318</v>
      </c>
      <c r="G87" s="30" t="n">
        <v>4470</v>
      </c>
      <c r="H87" s="30" t="n">
        <v>26163</v>
      </c>
      <c r="I87" s="30" t="n">
        <v>7254</v>
      </c>
      <c r="J87" s="31" t="n">
        <v>20567</v>
      </c>
      <c r="K87" s="31" t="n">
        <v>9213</v>
      </c>
      <c r="L87" s="31" t="n">
        <v>10175</v>
      </c>
      <c r="M87" s="31" t="n">
        <v>33931</v>
      </c>
      <c r="N87" s="31" t="n">
        <v>56347</v>
      </c>
      <c r="O87" s="31" t="n">
        <v>40999</v>
      </c>
      <c r="P87" s="31" t="n">
        <v>26770</v>
      </c>
      <c r="Q87" s="32" t="n">
        <v>56347</v>
      </c>
      <c r="R87" s="33" t="n">
        <f aca="false">IFERROR(AVERAGEIF(C87:I87,"&gt;0"),0)</f>
        <v>7225.57142857143</v>
      </c>
      <c r="S87" s="34" t="n">
        <f aca="false">IFERROR(AVERAGEIF(J87:P87,"&gt;0"),0)</f>
        <v>28286</v>
      </c>
      <c r="T87" s="89" t="n">
        <f aca="false">S87-R87</f>
        <v>21060.4285714286</v>
      </c>
      <c r="U87" s="51" t="n">
        <f aca="false">IFERROR(S87/R87,"n/a")</f>
        <v>3.91470768500761</v>
      </c>
      <c r="V87" s="69" t="n">
        <f aca="false">IFERROR(S87/$C$3,0)</f>
        <v>0.000269345561022539</v>
      </c>
      <c r="W87" s="69" t="n">
        <f aca="false">IFERROR(T87/$D$4,0)</f>
        <v>0.00054955613961774</v>
      </c>
      <c r="X87" s="73" t="n">
        <f aca="false">IFERROR((V87+W87)/2,0)</f>
        <v>0.00040945085032014</v>
      </c>
      <c r="Y87" s="66" t="n">
        <v>0.996773913696835</v>
      </c>
      <c r="Z87" s="59" t="n">
        <f aca="false">IFERROR(POWER(P87/C87,1/13)-1,"n/a")</f>
        <v>0.254742572480097</v>
      </c>
      <c r="AA87" s="40" t="n">
        <f aca="false">IFERROR(POWER(P87/J87,1/6)-1,"n/a")</f>
        <v>0.0449116481951894</v>
      </c>
      <c r="AB87" s="42" t="n">
        <f aca="false">IFERROR(AA87-Z87,"n/a")</f>
        <v>-0.209830924284907</v>
      </c>
      <c r="AC87" s="43" t="n">
        <f aca="false">IFERROR(SLOPE(C87:P87,{1,2,3,4,5,6,7,8,9,10,11,12,13,14})/AVERAGEIF(C87:P87,"&gt;0"),"n/a")</f>
        <v>0.174492078576462</v>
      </c>
      <c r="AD87" s="43" t="n">
        <f aca="false">IFERROR(SLOPE(J87:P87,{1,2,3,4,5,6,7})/AVERAGEIF(J87:P87,"&gt;0"),"n/a")</f>
        <v>0.162060231714831</v>
      </c>
      <c r="AE87" s="83" t="n">
        <f aca="false">IFERROR(J87/I87,"n/a")</f>
        <v>2.83526330300524</v>
      </c>
      <c r="AF87" s="46" t="n">
        <f aca="false">IFERROR(J87/H87,"n/a")</f>
        <v>0.7861101555632</v>
      </c>
      <c r="AG87" s="56" t="n">
        <v>1.46263169058898</v>
      </c>
      <c r="AH87" s="47" t="s">
        <v>136</v>
      </c>
      <c r="AI87" s="48" t="n">
        <v>0.05</v>
      </c>
      <c r="AJ87" s="49" t="s">
        <v>137</v>
      </c>
    </row>
    <row r="88" customFormat="false" ht="16.5" hidden="false" customHeight="true" outlineLevel="0" collapsed="false">
      <c r="A88" s="95" t="s">
        <v>254</v>
      </c>
      <c r="B88" s="96" t="s">
        <v>255</v>
      </c>
      <c r="C88" s="50" t="s">
        <v>89</v>
      </c>
      <c r="D88" s="50" t="s">
        <v>89</v>
      </c>
      <c r="E88" s="50" t="s">
        <v>89</v>
      </c>
      <c r="F88" s="50" t="s">
        <v>89</v>
      </c>
      <c r="G88" s="50" t="s">
        <v>89</v>
      </c>
      <c r="H88" s="30" t="n">
        <v>980</v>
      </c>
      <c r="I88" s="50" t="s">
        <v>89</v>
      </c>
      <c r="J88" s="50" t="s">
        <v>89</v>
      </c>
      <c r="K88" s="31" t="n">
        <v>173</v>
      </c>
      <c r="L88" s="31" t="n">
        <v>36088</v>
      </c>
      <c r="M88" s="31" t="n">
        <v>58622</v>
      </c>
      <c r="N88" s="31" t="n">
        <v>4</v>
      </c>
      <c r="O88" s="50" t="s">
        <v>89</v>
      </c>
      <c r="P88" s="50" t="s">
        <v>89</v>
      </c>
      <c r="Q88" s="32" t="n">
        <v>4</v>
      </c>
      <c r="R88" s="33" t="n">
        <f aca="false">IFERROR(AVERAGEIF(C88:I88,"&gt;0"),0)</f>
        <v>980</v>
      </c>
      <c r="S88" s="34" t="n">
        <f aca="false">IFERROR(AVERAGEIF(J88:P88,"&gt;0"),0)</f>
        <v>23721.75</v>
      </c>
      <c r="T88" s="89" t="n">
        <f aca="false">S88-R88</f>
        <v>22741.75</v>
      </c>
      <c r="U88" s="51" t="n">
        <f aca="false">IFERROR(S88/R88,"n/a")</f>
        <v>24.2058673469388</v>
      </c>
      <c r="V88" s="69" t="n">
        <f aca="false">IFERROR(S88/$C$3,0)</f>
        <v>0.000225883760948399</v>
      </c>
      <c r="W88" s="69" t="n">
        <f aca="false">IFERROR(T88/$D$4,0)</f>
        <v>0.000593428965406092</v>
      </c>
      <c r="X88" s="73" t="n">
        <f aca="false">IFERROR((V88+W88)/2,0)</f>
        <v>0.000409656363177245</v>
      </c>
      <c r="Y88" s="66" t="n">
        <v>0.997190753166466</v>
      </c>
      <c r="Z88" s="41" t="str">
        <f aca="false">IFERROR(POWER(P88/C88,1/13)-1,"n/a")</f>
        <v>n/a</v>
      </c>
      <c r="AA88" s="41" t="str">
        <f aca="false">IFERROR(POWER(P88/J88,1/6)-1,"n/a")</f>
        <v>n/a</v>
      </c>
      <c r="AB88" s="42" t="str">
        <f aca="false">IFERROR(AA88-Z88,"n/a")</f>
        <v>n/a</v>
      </c>
      <c r="AC88" s="43" t="n">
        <f aca="false">IFERROR(SLOPE(C88:P88,{1,2,3,4,5,6,7,8,9,10,11,12,13,14})/AVERAGEIF(C88:P88,"&gt;0"),"n/a")</f>
        <v>0.228509879351326</v>
      </c>
      <c r="AD88" s="43" t="n">
        <f aca="false">IFERROR(SLOPE(J88:P88,{1,2,3,4,5,6,7})/AVERAGEIF(J88:P88,"&gt;0"),"n/a")</f>
        <v>0.0928557125844425</v>
      </c>
      <c r="AE88" s="46" t="str">
        <f aca="false">IFERROR(J88/I88,"n/a")</f>
        <v>n/a</v>
      </c>
      <c r="AF88" s="46" t="str">
        <f aca="false">IFERROR(J88/H88,"n/a")</f>
        <v>n/a</v>
      </c>
      <c r="AG88" s="72" t="n">
        <v>0.0001686216236154</v>
      </c>
      <c r="AH88" s="47" t="s">
        <v>256</v>
      </c>
      <c r="AI88" s="60" t="n">
        <v>0.5</v>
      </c>
      <c r="AJ88" s="61" t="s">
        <v>257</v>
      </c>
    </row>
    <row r="89" customFormat="false" ht="16.5" hidden="false" customHeight="true" outlineLevel="0" collapsed="false">
      <c r="A89" s="95" t="s">
        <v>258</v>
      </c>
      <c r="B89" s="96" t="s">
        <v>259</v>
      </c>
      <c r="C89" s="30" t="n">
        <v>3113</v>
      </c>
      <c r="D89" s="30" t="n">
        <v>3130</v>
      </c>
      <c r="E89" s="30" t="n">
        <v>39</v>
      </c>
      <c r="F89" s="30" t="n">
        <v>1706</v>
      </c>
      <c r="G89" s="30" t="n">
        <v>1682</v>
      </c>
      <c r="H89" s="30" t="n">
        <v>434</v>
      </c>
      <c r="I89" s="30" t="n">
        <v>534</v>
      </c>
      <c r="J89" s="31" t="n">
        <v>47623</v>
      </c>
      <c r="K89" s="31" t="n">
        <v>2642</v>
      </c>
      <c r="L89" s="31" t="n">
        <v>13596</v>
      </c>
      <c r="M89" s="31" t="n">
        <v>7403</v>
      </c>
      <c r="N89" s="31" t="n">
        <v>22703</v>
      </c>
      <c r="O89" s="31" t="n">
        <v>41342</v>
      </c>
      <c r="P89" s="31" t="n">
        <v>22490</v>
      </c>
      <c r="Q89" s="32" t="n">
        <v>22703</v>
      </c>
      <c r="R89" s="33" t="n">
        <f aca="false">IFERROR(AVERAGEIF(C89:I89,"&gt;0"),0)</f>
        <v>1519.71428571429</v>
      </c>
      <c r="S89" s="34" t="n">
        <f aca="false">IFERROR(AVERAGEIF(J89:P89,"&gt;0"),0)</f>
        <v>22542.7142857143</v>
      </c>
      <c r="T89" s="89" t="n">
        <f aca="false">S89-R89</f>
        <v>21023</v>
      </c>
      <c r="U89" s="51" t="n">
        <f aca="false">IFERROR(S89/R89,"n/a")</f>
        <v>14.8335213385975</v>
      </c>
      <c r="V89" s="69" t="n">
        <f aca="false">IFERROR(S89/$C$3,0)</f>
        <v>0.000214656721567437</v>
      </c>
      <c r="W89" s="69" t="n">
        <f aca="false">IFERROR(T89/$D$4,0)</f>
        <v>0.00054857946902645</v>
      </c>
      <c r="X89" s="73" t="n">
        <f aca="false">IFERROR((V89+W89)/2,0)</f>
        <v>0.000381618095296943</v>
      </c>
      <c r="Y89" s="66" t="n">
        <v>0.997579197348222</v>
      </c>
      <c r="Z89" s="53" t="n">
        <f aca="false">IFERROR(POWER(P89/C89,1/13)-1,"n/a")</f>
        <v>0.16429312614722</v>
      </c>
      <c r="AA89" s="41" t="n">
        <f aca="false">IFERROR(POWER(P89/J89,1/6)-1,"n/a")</f>
        <v>-0.117539142536349</v>
      </c>
      <c r="AB89" s="42" t="n">
        <f aca="false">IFERROR(AA89-Z89,"n/a")</f>
        <v>-0.281832268683568</v>
      </c>
      <c r="AC89" s="43" t="n">
        <f aca="false">IFERROR(SLOPE(C89:P89,{1,2,3,4,5,6,7,8,9,10,11,12,13,14})/AVERAGEIF(C89:P89,"&gt;0"),"n/a")</f>
        <v>0.188040358390103</v>
      </c>
      <c r="AD89" s="43" t="n">
        <f aca="false">IFERROR(SLOPE(J89:P89,{1,2,3,4,5,6,7})/AVERAGEIF(J89:P89,"&gt;0"),"n/a")</f>
        <v>0.0175983371250768</v>
      </c>
      <c r="AE89" s="54" t="n">
        <f aca="false">IFERROR(J89/I89,"n/a")</f>
        <v>89.1816479400749</v>
      </c>
      <c r="AF89" s="55" t="n">
        <f aca="false">IFERROR(J89/H89,"n/a")</f>
        <v>109.730414746544</v>
      </c>
      <c r="AG89" s="56" t="n">
        <v>1.27957084645657</v>
      </c>
      <c r="AH89" s="47" t="s">
        <v>90</v>
      </c>
      <c r="AI89" s="48" t="n">
        <v>0.025</v>
      </c>
      <c r="AJ89" s="49" t="s">
        <v>91</v>
      </c>
    </row>
    <row r="90" customFormat="false" ht="16.5" hidden="false" customHeight="true" outlineLevel="0" collapsed="false">
      <c r="A90" s="95" t="s">
        <v>260</v>
      </c>
      <c r="B90" s="96" t="s">
        <v>261</v>
      </c>
      <c r="C90" s="30" t="n">
        <v>50319</v>
      </c>
      <c r="D90" s="30" t="n">
        <v>34402</v>
      </c>
      <c r="E90" s="30" t="n">
        <v>58939</v>
      </c>
      <c r="F90" s="30" t="n">
        <v>39802</v>
      </c>
      <c r="G90" s="30" t="n">
        <v>64104</v>
      </c>
      <c r="H90" s="30" t="n">
        <v>27586</v>
      </c>
      <c r="I90" s="30" t="n">
        <v>37496</v>
      </c>
      <c r="J90" s="31" t="n">
        <v>50456</v>
      </c>
      <c r="K90" s="31" t="n">
        <v>48565</v>
      </c>
      <c r="L90" s="31" t="n">
        <v>40697</v>
      </c>
      <c r="M90" s="31" t="n">
        <v>48592</v>
      </c>
      <c r="N90" s="31" t="n">
        <v>45732</v>
      </c>
      <c r="O90" s="31" t="n">
        <v>56971</v>
      </c>
      <c r="P90" s="31" t="n">
        <v>82210</v>
      </c>
      <c r="Q90" s="32" t="n">
        <v>45732</v>
      </c>
      <c r="R90" s="33" t="n">
        <f aca="false">IFERROR(AVERAGEIF(C90:I90,"&gt;0"),0)</f>
        <v>44664</v>
      </c>
      <c r="S90" s="34" t="n">
        <f aca="false">IFERROR(AVERAGEIF(J90:P90,"&gt;0"),0)</f>
        <v>53317.5714285714</v>
      </c>
      <c r="T90" s="89" t="n">
        <f aca="false">S90-R90</f>
        <v>8653.57142857143</v>
      </c>
      <c r="U90" s="68" t="n">
        <f aca="false">IFERROR(S90/R90,"n/a")</f>
        <v>1.19374824083314</v>
      </c>
      <c r="V90" s="69" t="n">
        <f aca="false">IFERROR(S90/$C$3,0)</f>
        <v>0.000507701731909349</v>
      </c>
      <c r="W90" s="69" t="n">
        <f aca="false">IFERROR(T90/$D$4,0)</f>
        <v>0.000225808477356618</v>
      </c>
      <c r="X90" s="73" t="n">
        <f aca="false">IFERROR((V90+W90)/2,0)</f>
        <v>0.000366755104632983</v>
      </c>
      <c r="Y90" s="66" t="n">
        <v>0.997962097374348</v>
      </c>
      <c r="Z90" s="40" t="n">
        <f aca="false">IFERROR(POWER(P90/C90,1/13)-1,"n/a")</f>
        <v>0.0384831024196577</v>
      </c>
      <c r="AA90" s="53" t="n">
        <f aca="false">IFERROR(POWER(P90/J90,1/6)-1,"n/a")</f>
        <v>0.0847641028585837</v>
      </c>
      <c r="AB90" s="57" t="n">
        <f aca="false">IFERROR(AA90-Z90,"n/a")</f>
        <v>0.046281000438926</v>
      </c>
      <c r="AC90" s="43" t="n">
        <f aca="false">IFERROR(SLOPE(C90:P90,{1,2,3,4,5,6,7,8,9,10,11,12,13,14})/AVERAGEIF(C90:P90,"&gt;0"),"n/a")</f>
        <v>0.0253185533991983</v>
      </c>
      <c r="AD90" s="43" t="n">
        <f aca="false">IFERROR(SLOPE(J90:P90,{1,2,3,4,5,6,7})/AVERAGEIF(J90:P90,"&gt;0"),"n/a")</f>
        <v>0.0784443884755227</v>
      </c>
      <c r="AE90" s="45" t="n">
        <f aca="false">IFERROR(J90/I90,"n/a")</f>
        <v>1.34563686793258</v>
      </c>
      <c r="AF90" s="71" t="n">
        <f aca="false">IFERROR(J90/H90,"n/a")</f>
        <v>1.82904371782788</v>
      </c>
      <c r="AG90" s="56" t="n">
        <v>1.15604790344289</v>
      </c>
      <c r="AH90" s="47" t="s">
        <v>90</v>
      </c>
      <c r="AI90" s="48" t="n">
        <v>0.025</v>
      </c>
      <c r="AJ90" s="49" t="s">
        <v>91</v>
      </c>
    </row>
    <row r="91" customFormat="false" ht="16.5" hidden="false" customHeight="true" outlineLevel="0" collapsed="false">
      <c r="A91" s="95" t="s">
        <v>262</v>
      </c>
      <c r="B91" s="96" t="s">
        <v>263</v>
      </c>
      <c r="C91" s="30" t="n">
        <v>3270</v>
      </c>
      <c r="D91" s="50" t="s">
        <v>89</v>
      </c>
      <c r="E91" s="50" t="s">
        <v>89</v>
      </c>
      <c r="F91" s="50" t="s">
        <v>89</v>
      </c>
      <c r="G91" s="50" t="s">
        <v>89</v>
      </c>
      <c r="H91" s="50" t="s">
        <v>89</v>
      </c>
      <c r="I91" s="30" t="n">
        <v>293</v>
      </c>
      <c r="J91" s="50" t="s">
        <v>89</v>
      </c>
      <c r="K91" s="31" t="n">
        <v>622</v>
      </c>
      <c r="L91" s="50" t="s">
        <v>89</v>
      </c>
      <c r="M91" s="31" t="n">
        <v>443</v>
      </c>
      <c r="N91" s="31" t="n">
        <v>30007</v>
      </c>
      <c r="O91" s="31" t="n">
        <v>11766</v>
      </c>
      <c r="P91" s="31" t="n">
        <v>55844</v>
      </c>
      <c r="Q91" s="32" t="n">
        <v>30007</v>
      </c>
      <c r="R91" s="33" t="n">
        <f aca="false">IFERROR(AVERAGEIF(C91:I91,"&gt;0"),0)</f>
        <v>1781.5</v>
      </c>
      <c r="S91" s="34" t="n">
        <f aca="false">IFERROR(AVERAGEIF(J91:P91,"&gt;0"),0)</f>
        <v>19736.4</v>
      </c>
      <c r="T91" s="89" t="n">
        <f aca="false">S91-R91</f>
        <v>17954.9</v>
      </c>
      <c r="U91" s="51" t="n">
        <f aca="false">IFERROR(S91/R91,"n/a")</f>
        <v>11.078529329217</v>
      </c>
      <c r="V91" s="69" t="n">
        <f aca="false">IFERROR(S91/$C$3,0)</f>
        <v>0.000187934374975791</v>
      </c>
      <c r="W91" s="69" t="n">
        <f aca="false">IFERROR(T91/$D$4,0)</f>
        <v>0.000468519693118156</v>
      </c>
      <c r="X91" s="73" t="n">
        <f aca="false">IFERROR((V91+W91)/2,0)</f>
        <v>0.000328227034046974</v>
      </c>
      <c r="Y91" s="66" t="n">
        <v>0.998296300723895</v>
      </c>
      <c r="Z91" s="59" t="n">
        <f aca="false">IFERROR(POWER(P91/C91,1/13)-1,"n/a")</f>
        <v>0.243947961515527</v>
      </c>
      <c r="AA91" s="59" t="str">
        <f aca="false">IFERROR(POWER(P91/J91,1/6)-1,"n/a")</f>
        <v>n/a</v>
      </c>
      <c r="AB91" s="70" t="str">
        <f aca="false">IFERROR(AA91-Z91,"n/a")</f>
        <v>n/a</v>
      </c>
      <c r="AC91" s="43" t="n">
        <f aca="false">IFERROR(SLOPE(C91:P91,{1,2,3,4,5,6,7,8,9,10,11,12,13,14})/AVERAGEIF(C91:P91,"&gt;0"),"n/a")</f>
        <v>0.189877407336559</v>
      </c>
      <c r="AD91" s="43" t="n">
        <f aca="false">IFERROR(SLOPE(J91:P91,{1,2,3,4,5,6,7})/AVERAGEIF(J91:P91,"&gt;0"),"n/a")</f>
        <v>0.482307488372424</v>
      </c>
      <c r="AE91" s="46" t="str">
        <f aca="false">IFERROR(J91/I91,"n/a")</f>
        <v>n/a</v>
      </c>
      <c r="AF91" s="46" t="str">
        <f aca="false">IFERROR(J91/H91,"n/a")</f>
        <v>n/a</v>
      </c>
      <c r="AG91" s="56" t="n">
        <v>1.64867959708964</v>
      </c>
      <c r="AH91" s="47" t="s">
        <v>85</v>
      </c>
      <c r="AI91" s="48" t="n">
        <v>0.04</v>
      </c>
      <c r="AJ91" s="49" t="s">
        <v>86</v>
      </c>
    </row>
    <row r="92" customFormat="false" ht="16.5" hidden="false" customHeight="true" outlineLevel="0" collapsed="false">
      <c r="A92" s="95" t="s">
        <v>264</v>
      </c>
      <c r="B92" s="96" t="s">
        <v>265</v>
      </c>
      <c r="C92" s="50" t="s">
        <v>89</v>
      </c>
      <c r="D92" s="50" t="s">
        <v>89</v>
      </c>
      <c r="E92" s="50" t="s">
        <v>89</v>
      </c>
      <c r="F92" s="50" t="s">
        <v>89</v>
      </c>
      <c r="G92" s="50" t="s">
        <v>89</v>
      </c>
      <c r="H92" s="50" t="s">
        <v>89</v>
      </c>
      <c r="I92" s="30" t="n">
        <v>10719</v>
      </c>
      <c r="J92" s="31" t="n">
        <v>17556</v>
      </c>
      <c r="K92" s="31" t="n">
        <v>19288</v>
      </c>
      <c r="L92" s="31" t="n">
        <v>18878</v>
      </c>
      <c r="M92" s="31" t="n">
        <v>29015</v>
      </c>
      <c r="N92" s="31" t="n">
        <v>50169</v>
      </c>
      <c r="O92" s="31" t="n">
        <v>26076</v>
      </c>
      <c r="P92" s="31" t="n">
        <v>10818</v>
      </c>
      <c r="Q92" s="32" t="n">
        <v>50169</v>
      </c>
      <c r="R92" s="33" t="n">
        <f aca="false">IFERROR(AVERAGEIF(C92:I92,"&gt;0"),0)</f>
        <v>10719</v>
      </c>
      <c r="S92" s="34" t="n">
        <f aca="false">IFERROR(AVERAGEIF(J92:P92,"&gt;0"),0)</f>
        <v>24542.8571428571</v>
      </c>
      <c r="T92" s="89" t="n">
        <f aca="false">S92-R92</f>
        <v>13823.8571428571</v>
      </c>
      <c r="U92" s="51" t="n">
        <f aca="false">IFERROR(S92/R92,"n/a")</f>
        <v>2.28965921661136</v>
      </c>
      <c r="V92" s="69" t="n">
        <f aca="false">IFERROR(S92/$C$3,0)</f>
        <v>0.000233702525144555</v>
      </c>
      <c r="W92" s="69" t="n">
        <f aca="false">IFERROR(T92/$D$4,0)</f>
        <v>0.000360723217967277</v>
      </c>
      <c r="X92" s="73" t="n">
        <f aca="false">IFERROR((V92+W92)/2,0)</f>
        <v>0.000297212871555916</v>
      </c>
      <c r="Y92" s="66" t="n">
        <v>0.998600945338705</v>
      </c>
      <c r="Z92" s="40" t="str">
        <f aca="false">IFERROR(POWER(P92/C92,1/13)-1,"n/a")</f>
        <v>n/a</v>
      </c>
      <c r="AA92" s="41" t="n">
        <f aca="false">IFERROR(POWER(P92/J92,1/6)-1,"n/a")</f>
        <v>-0.0775272041195719</v>
      </c>
      <c r="AB92" s="42" t="str">
        <f aca="false">IFERROR(AA92-Z92,"n/a")</f>
        <v>n/a</v>
      </c>
      <c r="AC92" s="43" t="n">
        <f aca="false">IFERROR(SLOPE(C92:P92,{1,2,3,4,5,6,7,8,9,10,11,12,13,14})/AVERAGEIF(C92:P92,"&gt;0"),"n/a")</f>
        <v>0.0762206361294675</v>
      </c>
      <c r="AD92" s="43" t="n">
        <f aca="false">IFERROR(SLOPE(J92:P92,{1,2,3,4,5,6,7})/AVERAGEIF(J92:P92,"&gt;0"),"n/a")</f>
        <v>0.0358745634458673</v>
      </c>
      <c r="AE92" s="71" t="n">
        <f aca="false">IFERROR(J92/I92,"n/a")</f>
        <v>1.6378393506857</v>
      </c>
      <c r="AF92" s="46" t="str">
        <f aca="false">IFERROR(J92/H92,"n/a")</f>
        <v>n/a</v>
      </c>
      <c r="AG92" s="56" t="n">
        <v>1.1824621653085</v>
      </c>
      <c r="AH92" s="47" t="s">
        <v>172</v>
      </c>
      <c r="AI92" s="60" t="n">
        <v>0.15</v>
      </c>
      <c r="AJ92" s="61" t="s">
        <v>173</v>
      </c>
    </row>
    <row r="93" customFormat="false" ht="16.5" hidden="false" customHeight="true" outlineLevel="0" collapsed="false">
      <c r="A93" s="95" t="s">
        <v>266</v>
      </c>
      <c r="B93" s="96" t="s">
        <v>267</v>
      </c>
      <c r="C93" s="30" t="n">
        <v>2332</v>
      </c>
      <c r="D93" s="30" t="n">
        <v>31027</v>
      </c>
      <c r="E93" s="30" t="n">
        <v>22608</v>
      </c>
      <c r="F93" s="30" t="n">
        <v>11084</v>
      </c>
      <c r="G93" s="30" t="n">
        <v>14309</v>
      </c>
      <c r="H93" s="50" t="s">
        <v>89</v>
      </c>
      <c r="I93" s="30" t="n">
        <v>7272</v>
      </c>
      <c r="J93" s="31" t="n">
        <v>39233</v>
      </c>
      <c r="K93" s="31" t="n">
        <v>5359</v>
      </c>
      <c r="L93" s="31" t="n">
        <v>723</v>
      </c>
      <c r="M93" s="31" t="n">
        <v>53171</v>
      </c>
      <c r="N93" s="31" t="n">
        <v>4808</v>
      </c>
      <c r="O93" s="31" t="n">
        <v>25145</v>
      </c>
      <c r="P93" s="31" t="n">
        <v>59046</v>
      </c>
      <c r="Q93" s="32" t="n">
        <v>4808</v>
      </c>
      <c r="R93" s="33" t="n">
        <f aca="false">IFERROR(AVERAGEIF(C93:I93,"&gt;0"),0)</f>
        <v>14772</v>
      </c>
      <c r="S93" s="34" t="n">
        <f aca="false">IFERROR(AVERAGEIF(J93:P93,"&gt;0"),0)</f>
        <v>26783.5714285714</v>
      </c>
      <c r="T93" s="89" t="n">
        <f aca="false">S93-R93</f>
        <v>12011.5714285714</v>
      </c>
      <c r="U93" s="36" t="n">
        <f aca="false">IFERROR(S93/R93,"n/a")</f>
        <v>1.81313102007659</v>
      </c>
      <c r="V93" s="69" t="n">
        <f aca="false">IFERROR(S93/$C$3,0)</f>
        <v>0.000255039103182345</v>
      </c>
      <c r="W93" s="69" t="n">
        <f aca="false">IFERROR(T93/$D$4,0)</f>
        <v>0.000313432977046996</v>
      </c>
      <c r="X93" s="73" t="n">
        <f aca="false">IFERROR((V93+W93)/2,0)</f>
        <v>0.00028423604011467</v>
      </c>
      <c r="Y93" s="66" t="n">
        <v>0.998893291625525</v>
      </c>
      <c r="Z93" s="59" t="n">
        <f aca="false">IFERROR(POWER(P93/C93,1/13)-1,"n/a")</f>
        <v>0.282208378635611</v>
      </c>
      <c r="AA93" s="53" t="n">
        <f aca="false">IFERROR(POWER(P93/J93,1/6)-1,"n/a")</f>
        <v>0.0705077785442452</v>
      </c>
      <c r="AB93" s="42" t="n">
        <f aca="false">IFERROR(AA93-Z93,"n/a")</f>
        <v>-0.211700600091366</v>
      </c>
      <c r="AC93" s="43" t="n">
        <f aca="false">IFERROR(SLOPE(C93:P93,{1,2,3,4,5,6,7,8,9,10,11,12,13,14})/AVERAGEIF(C93:P93,"&gt;0"),"n/a")</f>
        <v>0.0756579122200446</v>
      </c>
      <c r="AD93" s="43" t="n">
        <f aca="false">IFERROR(SLOPE(J93:P93,{1,2,3,4,5,6,7})/AVERAGEIF(J93:P93,"&gt;0"),"n/a")</f>
        <v>0.137472331119823</v>
      </c>
      <c r="AE93" s="54" t="n">
        <f aca="false">IFERROR(J93/I93,"n/a")</f>
        <v>5.39507700770077</v>
      </c>
      <c r="AF93" s="46" t="str">
        <f aca="false">IFERROR(J93/H93,"n/a")</f>
        <v>n/a</v>
      </c>
      <c r="AG93" s="56" t="n">
        <v>1.10763172164884</v>
      </c>
      <c r="AH93" s="47" t="s">
        <v>90</v>
      </c>
      <c r="AI93" s="48" t="n">
        <v>0.025</v>
      </c>
      <c r="AJ93" s="49" t="s">
        <v>91</v>
      </c>
    </row>
    <row r="94" customFormat="false" ht="16.5" hidden="false" customHeight="true" outlineLevel="0" collapsed="false">
      <c r="A94" s="95" t="s">
        <v>268</v>
      </c>
      <c r="B94" s="96" t="s">
        <v>269</v>
      </c>
      <c r="C94" s="30" t="n">
        <v>12478</v>
      </c>
      <c r="D94" s="30" t="n">
        <v>12604</v>
      </c>
      <c r="E94" s="30" t="n">
        <v>7066</v>
      </c>
      <c r="F94" s="30" t="n">
        <v>4804</v>
      </c>
      <c r="G94" s="30" t="n">
        <v>4437</v>
      </c>
      <c r="H94" s="30" t="n">
        <v>26930</v>
      </c>
      <c r="I94" s="30" t="n">
        <v>13267</v>
      </c>
      <c r="J94" s="31" t="n">
        <v>32458</v>
      </c>
      <c r="K94" s="31" t="n">
        <v>24182</v>
      </c>
      <c r="L94" s="31" t="n">
        <v>21852</v>
      </c>
      <c r="M94" s="31" t="n">
        <v>11828</v>
      </c>
      <c r="N94" s="31" t="n">
        <v>15452</v>
      </c>
      <c r="O94" s="31" t="n">
        <v>20041</v>
      </c>
      <c r="P94" s="31" t="n">
        <v>28846</v>
      </c>
      <c r="Q94" s="32" t="n">
        <v>15452</v>
      </c>
      <c r="R94" s="33" t="n">
        <f aca="false">IFERROR(AVERAGEIF(C94:I94,"&gt;0"),0)</f>
        <v>11655.1428571429</v>
      </c>
      <c r="S94" s="34" t="n">
        <f aca="false">IFERROR(AVERAGEIF(J94:P94,"&gt;0"),0)</f>
        <v>22094.1428571429</v>
      </c>
      <c r="T94" s="89" t="n">
        <f aca="false">S94-R94</f>
        <v>10439</v>
      </c>
      <c r="U94" s="36" t="n">
        <f aca="false">IFERROR(S94/R94,"n/a")</f>
        <v>1.89565611747113</v>
      </c>
      <c r="V94" s="69" t="n">
        <f aca="false">IFERROR(S94/$C$3,0)</f>
        <v>0.000210385325007751</v>
      </c>
      <c r="W94" s="69" t="n">
        <f aca="false">IFERROR(T94/$D$4,0)</f>
        <v>0.000272397901211393</v>
      </c>
      <c r="X94" s="73" t="n">
        <f aca="false">IFERROR((V94+W94)/2,0)</f>
        <v>0.000241391613109572</v>
      </c>
      <c r="Y94" s="66" t="n">
        <v>0.99914137349463</v>
      </c>
      <c r="Z94" s="53" t="n">
        <f aca="false">IFERROR(POWER(P94/C94,1/13)-1,"n/a")</f>
        <v>0.0665849029644026</v>
      </c>
      <c r="AA94" s="41" t="n">
        <f aca="false">IFERROR(POWER(P94/J94,1/6)-1,"n/a")</f>
        <v>-0.019470553616196</v>
      </c>
      <c r="AB94" s="42" t="n">
        <f aca="false">IFERROR(AA94-Z94,"n/a")</f>
        <v>-0.0860554565805985</v>
      </c>
      <c r="AC94" s="43" t="n">
        <f aca="false">IFERROR(SLOPE(C94:P94,{1,2,3,4,5,6,7,8,9,10,11,12,13,14})/AVERAGEIF(C94:P94,"&gt;0"),"n/a")</f>
        <v>0.0673687843617366</v>
      </c>
      <c r="AD94" s="44" t="n">
        <f aca="false">IFERROR(SLOPE(J94:P94,{1,2,3,4,5,6,7})/AVERAGEIF(J94:P94,"&gt;0"),"n/a")</f>
        <v>-0.0412488119023141</v>
      </c>
      <c r="AE94" s="83" t="n">
        <f aca="false">IFERROR(J94/I94,"n/a")</f>
        <v>2.44652144418482</v>
      </c>
      <c r="AF94" s="46" t="n">
        <f aca="false">IFERROR(J94/H94,"n/a")</f>
        <v>1.20527292981805</v>
      </c>
      <c r="AG94" s="46" t="n">
        <v>0.970679581099925</v>
      </c>
      <c r="AH94" s="47" t="s">
        <v>112</v>
      </c>
      <c r="AI94" s="48" t="n">
        <v>0.035</v>
      </c>
      <c r="AJ94" s="49" t="s">
        <v>113</v>
      </c>
    </row>
    <row r="95" customFormat="false" ht="16.5" hidden="false" customHeight="true" outlineLevel="0" collapsed="false">
      <c r="A95" s="95" t="s">
        <v>270</v>
      </c>
      <c r="B95" s="96" t="s">
        <v>271</v>
      </c>
      <c r="C95" s="30" t="n">
        <v>14265</v>
      </c>
      <c r="D95" s="30" t="n">
        <v>27903</v>
      </c>
      <c r="E95" s="30" t="n">
        <v>12298</v>
      </c>
      <c r="F95" s="30" t="n">
        <v>5218</v>
      </c>
      <c r="G95" s="30" t="n">
        <v>6899</v>
      </c>
      <c r="H95" s="30" t="n">
        <v>5820</v>
      </c>
      <c r="I95" s="30" t="n">
        <v>3250</v>
      </c>
      <c r="J95" s="31" t="n">
        <v>12216</v>
      </c>
      <c r="K95" s="31" t="n">
        <v>13709</v>
      </c>
      <c r="L95" s="31" t="n">
        <v>9914</v>
      </c>
      <c r="M95" s="31" t="n">
        <v>5926</v>
      </c>
      <c r="N95" s="31" t="n">
        <v>6985</v>
      </c>
      <c r="O95" s="31" t="n">
        <v>44523</v>
      </c>
      <c r="P95" s="31" t="n">
        <v>43213</v>
      </c>
      <c r="Q95" s="32" t="n">
        <v>6985</v>
      </c>
      <c r="R95" s="33" t="n">
        <f aca="false">IFERROR(AVERAGEIF(C95:I95,"&gt;0"),0)</f>
        <v>10807.5714285714</v>
      </c>
      <c r="S95" s="34" t="n">
        <f aca="false">IFERROR(AVERAGEIF(J95:P95,"&gt;0"),0)</f>
        <v>19498</v>
      </c>
      <c r="T95" s="89" t="n">
        <f aca="false">S95-R95</f>
        <v>8690.42857142857</v>
      </c>
      <c r="U95" s="36" t="n">
        <f aca="false">IFERROR(S95/R95,"n/a")</f>
        <v>1.80410558735278</v>
      </c>
      <c r="V95" s="69" t="n">
        <f aca="false">IFERROR(S95/$C$3,0)</f>
        <v>0.00018566427733923</v>
      </c>
      <c r="W95" s="69" t="n">
        <f aca="false">IFERROR(T95/$D$4,0)</f>
        <v>0.000226770236946514</v>
      </c>
      <c r="X95" s="73" t="n">
        <f aca="false">IFERROR((V95+W95)/2,0)</f>
        <v>0.000206217257142872</v>
      </c>
      <c r="Y95" s="66" t="n">
        <v>0.999353494878139</v>
      </c>
      <c r="Z95" s="53" t="n">
        <f aca="false">IFERROR(POWER(P95/C95,1/13)-1,"n/a")</f>
        <v>0.0889961817951612</v>
      </c>
      <c r="AA95" s="59" t="n">
        <f aca="false">IFERROR(POWER(P95/J95,1/6)-1,"n/a")</f>
        <v>0.234376274152659</v>
      </c>
      <c r="AB95" s="70" t="n">
        <f aca="false">IFERROR(AA95-Z95,"n/a")</f>
        <v>0.145380092357498</v>
      </c>
      <c r="AC95" s="43" t="n">
        <f aca="false">IFERROR(SLOPE(C95:P95,{1,2,3,4,5,6,7,8,9,10,11,12,13,14})/AVERAGEIF(C95:P95,"&gt;0"),"n/a")</f>
        <v>0.0818028237654049</v>
      </c>
      <c r="AD95" s="43" t="n">
        <f aca="false">IFERROR(SLOPE(J95:P95,{1,2,3,4,5,6,7})/AVERAGEIF(J95:P95,"&gt;0"),"n/a")</f>
        <v>0.277849010154888</v>
      </c>
      <c r="AE95" s="54" t="n">
        <f aca="false">IFERROR(J95/I95,"n/a")</f>
        <v>3.75876923076923</v>
      </c>
      <c r="AF95" s="71" t="n">
        <f aca="false">IFERROR(J95/H95,"n/a")</f>
        <v>2.09896907216495</v>
      </c>
      <c r="AG95" s="56" t="n">
        <v>1.61932847813451</v>
      </c>
      <c r="AH95" s="47" t="s">
        <v>112</v>
      </c>
      <c r="AI95" s="48" t="n">
        <v>0.035</v>
      </c>
      <c r="AJ95" s="49" t="s">
        <v>113</v>
      </c>
    </row>
    <row r="96" customFormat="false" ht="16.5" hidden="false" customHeight="true" outlineLevel="0" collapsed="false">
      <c r="A96" s="95" t="s">
        <v>272</v>
      </c>
      <c r="B96" s="96" t="s">
        <v>273</v>
      </c>
      <c r="C96" s="50" t="s">
        <v>89</v>
      </c>
      <c r="D96" s="30" t="n">
        <v>491</v>
      </c>
      <c r="E96" s="30" t="n">
        <v>530</v>
      </c>
      <c r="F96" s="30" t="n">
        <v>2248</v>
      </c>
      <c r="G96" s="30" t="n">
        <v>3053</v>
      </c>
      <c r="H96" s="30" t="n">
        <v>4357</v>
      </c>
      <c r="I96" s="30" t="n">
        <v>1414</v>
      </c>
      <c r="J96" s="31" t="n">
        <v>12878</v>
      </c>
      <c r="K96" s="31" t="n">
        <v>2533</v>
      </c>
      <c r="L96" s="31" t="n">
        <v>11031</v>
      </c>
      <c r="M96" s="31" t="n">
        <v>18745</v>
      </c>
      <c r="N96" s="31" t="n">
        <v>3046</v>
      </c>
      <c r="O96" s="31" t="n">
        <v>14912</v>
      </c>
      <c r="P96" s="31" t="n">
        <v>13012</v>
      </c>
      <c r="Q96" s="32" t="n">
        <v>3046</v>
      </c>
      <c r="R96" s="33" t="n">
        <f aca="false">IFERROR(AVERAGEIF(C96:I96,"&gt;0"),0)</f>
        <v>2015.5</v>
      </c>
      <c r="S96" s="34" t="n">
        <f aca="false">IFERROR(AVERAGEIF(J96:P96,"&gt;0"),0)</f>
        <v>10879.5714285714</v>
      </c>
      <c r="T96" s="89" t="n">
        <f aca="false">S96-R96</f>
        <v>8864.07142857143</v>
      </c>
      <c r="U96" s="51" t="n">
        <f aca="false">IFERROR(S96/R96,"n/a")</f>
        <v>5.39795158946734</v>
      </c>
      <c r="V96" s="69" t="n">
        <f aca="false">IFERROR(S96/$C$3,0)</f>
        <v>0.000103597690380872</v>
      </c>
      <c r="W96" s="69" t="n">
        <f aca="false">IFERROR(T96/$D$4,0)</f>
        <v>0.000231301317495041</v>
      </c>
      <c r="X96" s="73" t="n">
        <f aca="false">IFERROR((V96+W96)/2,0)</f>
        <v>0.000167449503937956</v>
      </c>
      <c r="Y96" s="66" t="n">
        <v>0.999524238789941</v>
      </c>
      <c r="Z96" s="59" t="str">
        <f aca="false">IFERROR(POWER(P96/C96,1/13)-1,"n/a")</f>
        <v>n/a</v>
      </c>
      <c r="AA96" s="40" t="n">
        <f aca="false">IFERROR(POWER(P96/J96,1/6)-1,"n/a")</f>
        <v>0.00172675237207831</v>
      </c>
      <c r="AB96" s="42" t="str">
        <f aca="false">IFERROR(AA96-Z96,"n/a")</f>
        <v>n/a</v>
      </c>
      <c r="AC96" s="43" t="n">
        <f aca="false">IFERROR(SLOPE(C96:P96,{1,2,3,4,5,6,7,8,9,10,11,12,13,14})/AVERAGEIF(C96:P96,"&gt;0"),"n/a")</f>
        <v>0.171405099150142</v>
      </c>
      <c r="AD96" s="43" t="n">
        <f aca="false">IFERROR(SLOPE(J96:P96,{1,2,3,4,5,6,7})/AVERAGEIF(J96:P96,"&gt;0"),"n/a")</f>
        <v>0.0563802408183095</v>
      </c>
      <c r="AE96" s="54" t="n">
        <f aca="false">IFERROR(J96/I96,"n/a")</f>
        <v>9.10749646393211</v>
      </c>
      <c r="AF96" s="71" t="n">
        <f aca="false">IFERROR(J96/H96,"n/a")</f>
        <v>2.9557034656874</v>
      </c>
      <c r="AG96" s="46" t="n">
        <v>0.948873161145178</v>
      </c>
      <c r="AH96" s="47" t="s">
        <v>136</v>
      </c>
      <c r="AI96" s="48" t="n">
        <v>0.05</v>
      </c>
      <c r="AJ96" s="49" t="s">
        <v>137</v>
      </c>
    </row>
    <row r="97" customFormat="false" ht="16.5" hidden="false" customHeight="true" outlineLevel="0" collapsed="false">
      <c r="A97" s="95" t="s">
        <v>274</v>
      </c>
      <c r="B97" s="96" t="s">
        <v>275</v>
      </c>
      <c r="C97" s="50" t="s">
        <v>89</v>
      </c>
      <c r="D97" s="50" t="s">
        <v>89</v>
      </c>
      <c r="E97" s="50" t="s">
        <v>89</v>
      </c>
      <c r="F97" s="50" t="s">
        <v>89</v>
      </c>
      <c r="G97" s="50" t="s">
        <v>89</v>
      </c>
      <c r="H97" s="50" t="s">
        <v>89</v>
      </c>
      <c r="I97" s="30" t="n">
        <v>3167</v>
      </c>
      <c r="J97" s="50" t="s">
        <v>89</v>
      </c>
      <c r="K97" s="31" t="n">
        <v>1040</v>
      </c>
      <c r="L97" s="31" t="n">
        <v>11276</v>
      </c>
      <c r="M97" s="31" t="n">
        <v>7305</v>
      </c>
      <c r="N97" s="31" t="n">
        <v>24126</v>
      </c>
      <c r="O97" s="31" t="n">
        <v>2273</v>
      </c>
      <c r="P97" s="31" t="n">
        <v>242</v>
      </c>
      <c r="Q97" s="32" t="n">
        <v>24126</v>
      </c>
      <c r="R97" s="33" t="n">
        <f aca="false">IFERROR(AVERAGEIF(C97:I97,"&gt;0"),0)</f>
        <v>3167</v>
      </c>
      <c r="S97" s="34" t="n">
        <f aca="false">IFERROR(AVERAGEIF(J97:P97,"&gt;0"),0)</f>
        <v>7710.33333333333</v>
      </c>
      <c r="T97" s="89" t="n">
        <f aca="false">S97-R97</f>
        <v>4543.33333333333</v>
      </c>
      <c r="U97" s="51" t="n">
        <f aca="false">IFERROR(S97/R97,"n/a")</f>
        <v>2.4345858330702</v>
      </c>
      <c r="V97" s="69" t="n">
        <f aca="false">IFERROR(S97/$C$3,0)</f>
        <v>7.34195028401841E-005</v>
      </c>
      <c r="W97" s="69" t="n">
        <f aca="false">IFERROR(T97/$D$4,0)</f>
        <v>0.000118554886914816</v>
      </c>
      <c r="X97" s="73" t="n">
        <f aca="false">IFERROR((V97+W97)/2,0)</f>
        <v>9.59871948774999E-005</v>
      </c>
      <c r="Y97" s="66" t="n">
        <v>0.999622560725937</v>
      </c>
      <c r="Z97" s="41" t="str">
        <f aca="false">IFERROR(POWER(P97/C97,1/13)-1,"n/a")</f>
        <v>n/a</v>
      </c>
      <c r="AA97" s="41" t="str">
        <f aca="false">IFERROR(POWER(P97/J97,1/6)-1,"n/a")</f>
        <v>n/a</v>
      </c>
      <c r="AB97" s="57" t="str">
        <f aca="false">IFERROR(AA97-Z97,"n/a")</f>
        <v>n/a</v>
      </c>
      <c r="AC97" s="43" t="n">
        <f aca="false">IFERROR(SLOPE(C97:P97,{1,2,3,4,5,6,7,8,9,10,11,12,13,14})/AVERAGEIF(C97:P97,"&gt;0"),"n/a")</f>
        <v>0.0423963797717475</v>
      </c>
      <c r="AD97" s="44" t="n">
        <f aca="false">IFERROR(SLOPE(J97:P97,{1,2,3,4,5,6,7})/AVERAGEIF(J97:P97,"&gt;0"),"n/a")</f>
        <v>-0.0525380287431215</v>
      </c>
      <c r="AE97" s="46" t="str">
        <f aca="false">IFERROR(J97/I97,"n/a")</f>
        <v>n/a</v>
      </c>
      <c r="AF97" s="46" t="str">
        <f aca="false">IFERROR(J97/H97,"n/a")</f>
        <v>n/a</v>
      </c>
      <c r="AG97" s="56" t="n">
        <v>1.1517444122606</v>
      </c>
      <c r="AH97" s="74" t="s">
        <v>162</v>
      </c>
      <c r="AI97" s="75" t="s">
        <v>117</v>
      </c>
      <c r="AJ97" s="75" t="s">
        <v>89</v>
      </c>
    </row>
    <row r="98" customFormat="false" ht="16.5" hidden="false" customHeight="true" outlineLevel="0" collapsed="false">
      <c r="A98" s="95" t="s">
        <v>276</v>
      </c>
      <c r="B98" s="96" t="s">
        <v>277</v>
      </c>
      <c r="C98" s="50" t="s">
        <v>89</v>
      </c>
      <c r="D98" s="50" t="s">
        <v>89</v>
      </c>
      <c r="E98" s="50" t="s">
        <v>89</v>
      </c>
      <c r="F98" s="50" t="s">
        <v>89</v>
      </c>
      <c r="G98" s="50" t="s">
        <v>89</v>
      </c>
      <c r="H98" s="30" t="n">
        <v>2500</v>
      </c>
      <c r="I98" s="30" t="n">
        <v>20755</v>
      </c>
      <c r="J98" s="31" t="n">
        <v>13680</v>
      </c>
      <c r="K98" s="50" t="s">
        <v>89</v>
      </c>
      <c r="L98" s="50" t="s">
        <v>89</v>
      </c>
      <c r="M98" s="50" t="s">
        <v>89</v>
      </c>
      <c r="N98" s="50" t="s">
        <v>89</v>
      </c>
      <c r="O98" s="50" t="s">
        <v>89</v>
      </c>
      <c r="P98" s="50" t="s">
        <v>89</v>
      </c>
      <c r="Q98" s="50" t="s">
        <v>89</v>
      </c>
      <c r="R98" s="33" t="n">
        <f aca="false">IFERROR(AVERAGEIF(C98:I98,"&gt;0"),0)</f>
        <v>11627.5</v>
      </c>
      <c r="S98" s="34" t="n">
        <f aca="false">IFERROR(AVERAGEIF(J98:P98,"&gt;0"),0)</f>
        <v>13680</v>
      </c>
      <c r="T98" s="89" t="n">
        <f aca="false">S98-R98</f>
        <v>2052.5</v>
      </c>
      <c r="U98" s="68" t="n">
        <f aca="false">IFERROR(S98/R98,"n/a")</f>
        <v>1.17652117824124</v>
      </c>
      <c r="V98" s="69" t="n">
        <f aca="false">IFERROR(S98/$C$3,0)</f>
        <v>0.000130263991896639</v>
      </c>
      <c r="W98" s="69" t="n">
        <f aca="false">IFERROR(T98/$D$4,0)</f>
        <v>5.35584531311796E-005</v>
      </c>
      <c r="X98" s="73" t="n">
        <f aca="false">IFERROR((V98+W98)/2,0)</f>
        <v>9.19112225139092E-005</v>
      </c>
      <c r="Y98" s="66" t="n">
        <v>0.99971861434504</v>
      </c>
      <c r="Z98" s="59" t="str">
        <f aca="false">IFERROR(POWER(P98/C98,1/13)-1,"n/a")</f>
        <v>n/a</v>
      </c>
      <c r="AA98" s="40" t="str">
        <f aca="false">IFERROR(POWER(P98/J98,1/6)-1,"n/a")</f>
        <v>n/a</v>
      </c>
      <c r="AB98" s="92" t="str">
        <f aca="false">IFERROR(AA98-Z98,"n/a")</f>
        <v>n/a</v>
      </c>
      <c r="AC98" s="43" t="n">
        <f aca="false">IFERROR(SLOPE(C98:P98,{1,2,3,4,5,6,7,8,9,10,11,12,13,14})/AVERAGEIF(C98:P98,"&gt;0"),"n/a")</f>
        <v>0.45404088263165</v>
      </c>
      <c r="AD98" s="90" t="str">
        <f aca="false">IFERROR(SLOPE(J98:P98,{1,2,3,4,5,6,7})/AVERAGEIF(J98:P98,"&gt;0"),"n/a")</f>
        <v>n/a</v>
      </c>
      <c r="AE98" s="46" t="n">
        <f aca="false">IFERROR(J98/I98,"n/a")</f>
        <v>0.659118284750663</v>
      </c>
      <c r="AF98" s="55" t="n">
        <f aca="false">IFERROR(J98/H98,"n/a")</f>
        <v>5.472</v>
      </c>
      <c r="AG98" s="91" t="s">
        <v>167</v>
      </c>
      <c r="AH98" s="74" t="s">
        <v>116</v>
      </c>
      <c r="AI98" s="75" t="s">
        <v>117</v>
      </c>
      <c r="AJ98" s="75" t="s">
        <v>89</v>
      </c>
    </row>
    <row r="99" customFormat="false" ht="16.5" hidden="false" customHeight="true" outlineLevel="0" collapsed="false">
      <c r="A99" s="95" t="s">
        <v>278</v>
      </c>
      <c r="B99" s="96" t="s">
        <v>279</v>
      </c>
      <c r="C99" s="30" t="n">
        <v>1600</v>
      </c>
      <c r="D99" s="50" t="s">
        <v>89</v>
      </c>
      <c r="E99" s="50" t="s">
        <v>89</v>
      </c>
      <c r="F99" s="30" t="n">
        <v>2598</v>
      </c>
      <c r="G99" s="30" t="n">
        <v>1350</v>
      </c>
      <c r="H99" s="50" t="s">
        <v>89</v>
      </c>
      <c r="I99" s="30" t="n">
        <v>1003</v>
      </c>
      <c r="J99" s="50" t="s">
        <v>89</v>
      </c>
      <c r="K99" s="50" t="s">
        <v>89</v>
      </c>
      <c r="L99" s="50" t="s">
        <v>89</v>
      </c>
      <c r="M99" s="31" t="n">
        <v>1460</v>
      </c>
      <c r="N99" s="50" t="s">
        <v>89</v>
      </c>
      <c r="O99" s="50" t="s">
        <v>89</v>
      </c>
      <c r="P99" s="31" t="n">
        <v>10000</v>
      </c>
      <c r="Q99" s="50" t="s">
        <v>89</v>
      </c>
      <c r="R99" s="33" t="n">
        <f aca="false">IFERROR(AVERAGEIF(C99:I99,"&gt;0"),0)</f>
        <v>1637.75</v>
      </c>
      <c r="S99" s="34" t="n">
        <f aca="false">IFERROR(AVERAGEIF(J99:P99,"&gt;0"),0)</f>
        <v>5730</v>
      </c>
      <c r="T99" s="89" t="n">
        <f aca="false">S99-R99</f>
        <v>4092.25</v>
      </c>
      <c r="U99" s="51" t="n">
        <f aca="false">IFERROR(S99/R99,"n/a")</f>
        <v>3.49870248816975</v>
      </c>
      <c r="V99" s="69" t="n">
        <f aca="false">IFERROR(S99/$C$3,0)</f>
        <v>5.45623299391623E-005</v>
      </c>
      <c r="W99" s="69" t="n">
        <f aca="false">IFERROR(T99/$D$4,0)</f>
        <v>0.000106784204543761</v>
      </c>
      <c r="X99" s="73" t="n">
        <f aca="false">IFERROR((V99+W99)/2,0)</f>
        <v>8.06732672414617E-005</v>
      </c>
      <c r="Y99" s="66" t="n">
        <v>0.999801022695063</v>
      </c>
      <c r="Z99" s="53" t="n">
        <f aca="false">IFERROR(POWER(P99/C99,1/13)-1,"n/a")</f>
        <v>0.151387578354072</v>
      </c>
      <c r="AA99" s="59" t="str">
        <f aca="false">IFERROR(POWER(P99/J99,1/6)-1,"n/a")</f>
        <v>n/a</v>
      </c>
      <c r="AB99" s="70" t="str">
        <f aca="false">IFERROR(AA99-Z99,"n/a")</f>
        <v>n/a</v>
      </c>
      <c r="AC99" s="43" t="n">
        <f aca="false">IFERROR(SLOPE(C99:P99,{1,2,3,4,5,6,7,8,9,10,11,12,13,14})/AVERAGEIF(C99:P99,"&gt;0"),"n/a")</f>
        <v>0.162900449725168</v>
      </c>
      <c r="AD99" s="90" t="n">
        <f aca="false">IFERROR(SLOPE(J99:P99,{1,2,3,4,5,6,7})/AVERAGEIF(J99:P99,"&gt;0"),"n/a")</f>
        <v>0.496800465386853</v>
      </c>
      <c r="AE99" s="46" t="str">
        <f aca="false">IFERROR(J99/I99,"n/a")</f>
        <v>n/a</v>
      </c>
      <c r="AF99" s="46" t="str">
        <f aca="false">IFERROR(J99/H99,"n/a")</f>
        <v>n/a</v>
      </c>
      <c r="AG99" s="56" t="n">
        <v>1.74520069808028</v>
      </c>
      <c r="AH99" s="47" t="s">
        <v>136</v>
      </c>
      <c r="AI99" s="48" t="n">
        <v>0.05</v>
      </c>
      <c r="AJ99" s="49" t="s">
        <v>137</v>
      </c>
    </row>
    <row r="100" customFormat="false" ht="16.5" hidden="false" customHeight="true" outlineLevel="0" collapsed="false">
      <c r="A100" s="95" t="s">
        <v>280</v>
      </c>
      <c r="B100" s="96" t="s">
        <v>281</v>
      </c>
      <c r="C100" s="30" t="n">
        <v>229</v>
      </c>
      <c r="D100" s="50" t="s">
        <v>89</v>
      </c>
      <c r="E100" s="30" t="n">
        <v>12530</v>
      </c>
      <c r="F100" s="30" t="n">
        <v>6601</v>
      </c>
      <c r="G100" s="50" t="s">
        <v>89</v>
      </c>
      <c r="H100" s="50" t="s">
        <v>89</v>
      </c>
      <c r="I100" s="30" t="n">
        <v>307</v>
      </c>
      <c r="J100" s="31" t="n">
        <v>45322</v>
      </c>
      <c r="K100" s="31" t="n">
        <v>328</v>
      </c>
      <c r="L100" s="31" t="n">
        <v>2070</v>
      </c>
      <c r="M100" s="31" t="n">
        <v>5953</v>
      </c>
      <c r="N100" s="31" t="n">
        <v>480</v>
      </c>
      <c r="O100" s="31" t="n">
        <v>181</v>
      </c>
      <c r="P100" s="31" t="n">
        <v>94</v>
      </c>
      <c r="Q100" s="32" t="n">
        <v>480</v>
      </c>
      <c r="R100" s="33" t="n">
        <f aca="false">IFERROR(AVERAGEIF(C100:I100,"&gt;0"),0)</f>
        <v>4916.75</v>
      </c>
      <c r="S100" s="34" t="n">
        <f aca="false">IFERROR(AVERAGEIF(J100:P100,"&gt;0"),0)</f>
        <v>7775.42857142857</v>
      </c>
      <c r="T100" s="89" t="n">
        <f aca="false">S100-R100</f>
        <v>2858.67857142857</v>
      </c>
      <c r="U100" s="36" t="n">
        <f aca="false">IFERROR(S100/R100,"n/a")</f>
        <v>1.58141629560758</v>
      </c>
      <c r="V100" s="69" t="n">
        <f aca="false">IFERROR(S100/$C$3,0)</f>
        <v>7.40393541243762E-005</v>
      </c>
      <c r="W100" s="69" t="n">
        <f aca="false">IFERROR(T100/$D$4,0)</f>
        <v>7.4595080285001E-005</v>
      </c>
      <c r="X100" s="73" t="n">
        <f aca="false">IFERROR((V100+W100)/2,0)</f>
        <v>7.43172172046886E-005</v>
      </c>
      <c r="Y100" s="66" t="n">
        <v>0.999877694364665</v>
      </c>
      <c r="Z100" s="41" t="n">
        <f aca="false">IFERROR(POWER(P100/C100,1/13)-1,"n/a")</f>
        <v>-0.0662013121673196</v>
      </c>
      <c r="AA100" s="41" t="n">
        <f aca="false">IFERROR(POWER(P100/J100,1/6)-1,"n/a")</f>
        <v>-0.642889079490911</v>
      </c>
      <c r="AB100" s="42" t="n">
        <f aca="false">IFERROR(AA100-Z100,"n/a")</f>
        <v>-0.576687767323591</v>
      </c>
      <c r="AC100" s="44" t="n">
        <f aca="false">IFERROR(SLOPE(C100:P100,{1,2,3,4,5,6,7,8,9,10,11,12,13,14})/AVERAGEIF(C100:P100,"&gt;0"),"n/a")</f>
        <v>-0.0758069017707936</v>
      </c>
      <c r="AD100" s="44" t="n">
        <f aca="false">IFERROR(SLOPE(J100:P100,{1,2,3,4,5,6,7})/AVERAGEIF(J100:P100,"&gt;0"),"n/a")</f>
        <v>-0.631880649665613</v>
      </c>
      <c r="AE100" s="54" t="n">
        <f aca="false">IFERROR(J100/I100,"n/a")</f>
        <v>147.628664495114</v>
      </c>
      <c r="AF100" s="46" t="str">
        <f aca="false">IFERROR(J100/H100,"n/a")</f>
        <v>n/a</v>
      </c>
      <c r="AG100" s="72" t="n">
        <v>0.0323669189877759</v>
      </c>
      <c r="AH100" s="47" t="s">
        <v>136</v>
      </c>
      <c r="AI100" s="48" t="n">
        <v>0.05</v>
      </c>
      <c r="AJ100" s="49" t="s">
        <v>137</v>
      </c>
    </row>
    <row r="101" customFormat="false" ht="16.5" hidden="false" customHeight="true" outlineLevel="0" collapsed="false">
      <c r="A101" s="95" t="s">
        <v>282</v>
      </c>
      <c r="B101" s="96" t="s">
        <v>283</v>
      </c>
      <c r="C101" s="50" t="s">
        <v>89</v>
      </c>
      <c r="D101" s="50" t="s">
        <v>89</v>
      </c>
      <c r="E101" s="50" t="s">
        <v>89</v>
      </c>
      <c r="F101" s="50" t="s">
        <v>89</v>
      </c>
      <c r="G101" s="50" t="s">
        <v>89</v>
      </c>
      <c r="H101" s="50" t="s">
        <v>89</v>
      </c>
      <c r="I101" s="30" t="n">
        <v>1089</v>
      </c>
      <c r="J101" s="31" t="n">
        <v>10</v>
      </c>
      <c r="K101" s="31" t="n">
        <v>633</v>
      </c>
      <c r="L101" s="31" t="n">
        <v>669</v>
      </c>
      <c r="M101" s="31" t="n">
        <v>9403</v>
      </c>
      <c r="N101" s="31" t="n">
        <v>4500</v>
      </c>
      <c r="O101" s="31" t="n">
        <v>4355</v>
      </c>
      <c r="P101" s="50" t="s">
        <v>89</v>
      </c>
      <c r="Q101" s="32" t="n">
        <v>4500</v>
      </c>
      <c r="R101" s="33" t="n">
        <f aca="false">IFERROR(AVERAGEIF(C101:I101,"&gt;0"),0)</f>
        <v>1089</v>
      </c>
      <c r="S101" s="34" t="n">
        <f aca="false">IFERROR(AVERAGEIF(J101:P101,"&gt;0"),0)</f>
        <v>3261.66666666667</v>
      </c>
      <c r="T101" s="89" t="n">
        <f aca="false">S101-R101</f>
        <v>2172.66666666667</v>
      </c>
      <c r="U101" s="51" t="n">
        <f aca="false">IFERROR(S101/R101,"n/a")</f>
        <v>2.99510254055709</v>
      </c>
      <c r="V101" s="69" t="n">
        <f aca="false">IFERROR(S101/$C$3,0)</f>
        <v>3.10583128827634E-005</v>
      </c>
      <c r="W101" s="69" t="n">
        <f aca="false">IFERROR(T101/$D$4,0)</f>
        <v>5.66941124659405E-005</v>
      </c>
      <c r="X101" s="73" t="n">
        <f aca="false">IFERROR((V101+W101)/2,0)</f>
        <v>4.3876212674352E-005</v>
      </c>
      <c r="Y101" s="66" t="n">
        <v>0.999922558232082</v>
      </c>
      <c r="Z101" s="59" t="str">
        <f aca="false">IFERROR(POWER(P101/C101,1/13)-1,"n/a")</f>
        <v>n/a</v>
      </c>
      <c r="AA101" s="59" t="str">
        <f aca="false">IFERROR(POWER(P101/J101,1/6)-1,"n/a")</f>
        <v>n/a</v>
      </c>
      <c r="AB101" s="70" t="str">
        <f aca="false">IFERROR(AA101-Z101,"n/a")</f>
        <v>n/a</v>
      </c>
      <c r="AC101" s="43" t="n">
        <f aca="false">IFERROR(SLOPE(C101:P101,{1,2,3,4,5,6,7,8,9,10,11,12,13,14})/AVERAGEIF(C101:P101,"&gt;0"),"n/a")</f>
        <v>0.333365603368992</v>
      </c>
      <c r="AD101" s="43" t="n">
        <f aca="false">IFERROR(SLOPE(J101:P101,{1,2,3,4,5,6,7})/AVERAGEIF(J101:P101,"&gt;0"),"n/a")</f>
        <v>0.36843565223739</v>
      </c>
      <c r="AE101" s="46" t="n">
        <f aca="false">IFERROR(J101/I101,"n/a")</f>
        <v>0.00918273645546373</v>
      </c>
      <c r="AF101" s="46" t="str">
        <f aca="false">IFERROR(J101/H101,"n/a")</f>
        <v>n/a</v>
      </c>
      <c r="AG101" s="56" t="n">
        <v>1.35743484925907</v>
      </c>
      <c r="AH101" s="47" t="s">
        <v>90</v>
      </c>
      <c r="AI101" s="48" t="n">
        <v>0.025</v>
      </c>
      <c r="AJ101" s="49" t="s">
        <v>91</v>
      </c>
    </row>
    <row r="102" customFormat="false" ht="16.5" hidden="false" customHeight="true" outlineLevel="0" collapsed="false">
      <c r="A102" s="95" t="s">
        <v>284</v>
      </c>
      <c r="B102" s="96" t="s">
        <v>285</v>
      </c>
      <c r="C102" s="50" t="s">
        <v>89</v>
      </c>
      <c r="D102" s="50" t="s">
        <v>89</v>
      </c>
      <c r="E102" s="50" t="s">
        <v>89</v>
      </c>
      <c r="F102" s="50" t="s">
        <v>89</v>
      </c>
      <c r="G102" s="50" t="s">
        <v>89</v>
      </c>
      <c r="H102" s="50" t="s">
        <v>89</v>
      </c>
      <c r="I102" s="30" t="n">
        <v>307</v>
      </c>
      <c r="J102" s="50" t="s">
        <v>89</v>
      </c>
      <c r="K102" s="31" t="n">
        <v>4803</v>
      </c>
      <c r="L102" s="31" t="n">
        <v>472</v>
      </c>
      <c r="M102" s="50" t="s">
        <v>89</v>
      </c>
      <c r="N102" s="50" t="s">
        <v>89</v>
      </c>
      <c r="O102" s="50" t="s">
        <v>89</v>
      </c>
      <c r="P102" s="50" t="s">
        <v>89</v>
      </c>
      <c r="Q102" s="50" t="s">
        <v>89</v>
      </c>
      <c r="R102" s="33" t="n">
        <f aca="false">IFERROR(AVERAGEIF(C102:I102,"&gt;0"),0)</f>
        <v>307</v>
      </c>
      <c r="S102" s="34" t="n">
        <f aca="false">IFERROR(AVERAGEIF(J102:P102,"&gt;0"),0)</f>
        <v>2637.5</v>
      </c>
      <c r="T102" s="89" t="n">
        <f aca="false">S102-R102</f>
        <v>2330.5</v>
      </c>
      <c r="U102" s="51" t="n">
        <f aca="false">IFERROR(S102/R102,"n/a")</f>
        <v>8.59120521172638</v>
      </c>
      <c r="V102" s="69" t="n">
        <f aca="false">IFERROR(S102/$C$3,0)</f>
        <v>2.51148595487855E-005</v>
      </c>
      <c r="W102" s="69" t="n">
        <f aca="false">IFERROR(T102/$D$4,0)</f>
        <v>6.08126553092395E-005</v>
      </c>
      <c r="X102" s="73" t="n">
        <f aca="false">IFERROR((V102+W102)/2,0)</f>
        <v>4.29637574290125E-005</v>
      </c>
      <c r="Y102" s="66" t="n">
        <v>0.999966320642362</v>
      </c>
      <c r="Z102" s="53" t="str">
        <f aca="false">IFERROR(POWER(P102/C102,1/13)-1,"n/a")</f>
        <v>n/a</v>
      </c>
      <c r="AA102" s="41" t="str">
        <f aca="false">IFERROR(POWER(P102/J102,1/6)-1,"n/a")</f>
        <v>n/a</v>
      </c>
      <c r="AB102" s="42" t="str">
        <f aca="false">IFERROR(AA102-Z102,"n/a")</f>
        <v>n/a</v>
      </c>
      <c r="AC102" s="43" t="n">
        <f aca="false">IFERROR(SLOPE(C102:P102,{1,2,3,4,5,6,7,8,9,10,11,12,13,14})/AVERAGEIF(C102:P102,"&gt;0"),"n/a")</f>
        <v>0.197932128781287</v>
      </c>
      <c r="AD102" s="90" t="n">
        <f aca="false">IFERROR(SLOPE(J102:P102,{1,2,3,4,5,6,7})/AVERAGEIF(J102:P102,"&gt;0"),"n/a")</f>
        <v>-1.64208530805687</v>
      </c>
      <c r="AE102" s="46" t="str">
        <f aca="false">IFERROR(J102/I102,"n/a")</f>
        <v>n/a</v>
      </c>
      <c r="AF102" s="46" t="str">
        <f aca="false">IFERROR(J102/H102,"n/a")</f>
        <v>n/a</v>
      </c>
      <c r="AG102" s="91" t="s">
        <v>167</v>
      </c>
      <c r="AH102" s="47" t="s">
        <v>136</v>
      </c>
      <c r="AI102" s="48" t="n">
        <v>0.05</v>
      </c>
      <c r="AJ102" s="49" t="s">
        <v>137</v>
      </c>
    </row>
    <row r="103" customFormat="false" ht="16.5" hidden="false" customHeight="true" outlineLevel="0" collapsed="false">
      <c r="A103" s="95" t="s">
        <v>286</v>
      </c>
      <c r="B103" s="96" t="s">
        <v>287</v>
      </c>
      <c r="C103" s="50" t="s">
        <v>89</v>
      </c>
      <c r="D103" s="50" t="s">
        <v>89</v>
      </c>
      <c r="E103" s="50" t="s">
        <v>89</v>
      </c>
      <c r="F103" s="50" t="s">
        <v>89</v>
      </c>
      <c r="G103" s="50" t="s">
        <v>89</v>
      </c>
      <c r="H103" s="30" t="n">
        <v>18</v>
      </c>
      <c r="I103" s="30" t="n">
        <v>322</v>
      </c>
      <c r="J103" s="50" t="s">
        <v>89</v>
      </c>
      <c r="K103" s="50" t="s">
        <v>89</v>
      </c>
      <c r="L103" s="31" t="n">
        <v>1723</v>
      </c>
      <c r="M103" s="50" t="s">
        <v>89</v>
      </c>
      <c r="N103" s="50" t="s">
        <v>89</v>
      </c>
      <c r="O103" s="50" t="s">
        <v>89</v>
      </c>
      <c r="P103" s="50" t="s">
        <v>89</v>
      </c>
      <c r="Q103" s="50" t="s">
        <v>89</v>
      </c>
      <c r="R103" s="33" t="n">
        <f aca="false">IFERROR(AVERAGEIF(C103:I103,"&gt;0"),0)</f>
        <v>170</v>
      </c>
      <c r="S103" s="34" t="n">
        <f aca="false">IFERROR(AVERAGEIF(J103:P103,"&gt;0"),0)</f>
        <v>1723</v>
      </c>
      <c r="T103" s="89" t="n">
        <f aca="false">S103-R103</f>
        <v>1553</v>
      </c>
      <c r="U103" s="51" t="n">
        <f aca="false">IFERROR(S103/R103,"n/a")</f>
        <v>10.1352941176471</v>
      </c>
      <c r="V103" s="69" t="n">
        <f aca="false">IFERROR(S103/$C$3,0)</f>
        <v>1.64067878682682E-005</v>
      </c>
      <c r="W103" s="69" t="n">
        <f aca="false">IFERROR(T103/$D$4,0)</f>
        <v>4.05243740378669E-005</v>
      </c>
      <c r="X103" s="73" t="n">
        <f aca="false">IFERROR((V103+W103)/2,0)</f>
        <v>2.84655809530676E-005</v>
      </c>
      <c r="Y103" s="66" t="n">
        <v>0.999995307959377</v>
      </c>
      <c r="Z103" s="59" t="str">
        <f aca="false">IFERROR(POWER(P103/C103,1/13)-1,"n/a")</f>
        <v>n/a</v>
      </c>
      <c r="AA103" s="40" t="str">
        <f aca="false">IFERROR(POWER(P103/J103,1/6)-1,"n/a")</f>
        <v>n/a</v>
      </c>
      <c r="AB103" s="92" t="str">
        <f aca="false">IFERROR(AA103-Z103,"n/a")</f>
        <v>n/a</v>
      </c>
      <c r="AC103" s="43" t="n">
        <f aca="false">IFERROR(SLOPE(C103:P103,{1,2,3,4,5,6,7,8,9,10,11,12,13,14})/AVERAGEIF(C103:P103,"&gt;0"),"n/a")</f>
        <v>0.633524739923189</v>
      </c>
      <c r="AD103" s="90" t="str">
        <f aca="false">IFERROR(SLOPE(J103:P103,{1,2,3,4,5,6,7})/AVERAGEIF(J103:P103,"&gt;0"),"n/a")</f>
        <v>n/a</v>
      </c>
      <c r="AE103" s="46" t="str">
        <f aca="false">IFERROR(J103/I103,"n/a")</f>
        <v>n/a</v>
      </c>
      <c r="AF103" s="46" t="str">
        <f aca="false">IFERROR(J103/H103,"n/a")</f>
        <v>n/a</v>
      </c>
      <c r="AG103" s="91" t="s">
        <v>167</v>
      </c>
      <c r="AH103" s="47" t="s">
        <v>136</v>
      </c>
      <c r="AI103" s="48" t="n">
        <v>0.05</v>
      </c>
      <c r="AJ103" s="49" t="s">
        <v>137</v>
      </c>
    </row>
    <row r="104" customFormat="false" ht="16.5" hidden="false" customHeight="true" outlineLevel="0" collapsed="false">
      <c r="A104" s="95" t="s">
        <v>288</v>
      </c>
      <c r="B104" s="96" t="s">
        <v>289</v>
      </c>
      <c r="C104" s="50" t="s">
        <v>89</v>
      </c>
      <c r="D104" s="50" t="s">
        <v>89</v>
      </c>
      <c r="E104" s="50" t="s">
        <v>89</v>
      </c>
      <c r="F104" s="50" t="s">
        <v>89</v>
      </c>
      <c r="G104" s="50" t="s">
        <v>89</v>
      </c>
      <c r="H104" s="30" t="n">
        <v>29</v>
      </c>
      <c r="I104" s="30" t="n">
        <v>18</v>
      </c>
      <c r="J104" s="50" t="s">
        <v>89</v>
      </c>
      <c r="K104" s="31" t="n">
        <v>645</v>
      </c>
      <c r="L104" s="31" t="n">
        <v>11</v>
      </c>
      <c r="M104" s="50" t="s">
        <v>89</v>
      </c>
      <c r="N104" s="50" t="s">
        <v>89</v>
      </c>
      <c r="O104" s="50" t="s">
        <v>89</v>
      </c>
      <c r="P104" s="31" t="n">
        <v>172</v>
      </c>
      <c r="Q104" s="50" t="s">
        <v>89</v>
      </c>
      <c r="R104" s="33" t="n">
        <f aca="false">IFERROR(AVERAGEIF(C104:I104,"&gt;0"),0)</f>
        <v>23.5</v>
      </c>
      <c r="S104" s="34" t="n">
        <f aca="false">IFERROR(AVERAGEIF(J104:P104,"&gt;0"),0)</f>
        <v>276</v>
      </c>
      <c r="T104" s="89" t="n">
        <f aca="false">S104-R104</f>
        <v>252.5</v>
      </c>
      <c r="U104" s="51" t="n">
        <f aca="false">IFERROR(S104/R104,"n/a")</f>
        <v>11.7446808510638</v>
      </c>
      <c r="V104" s="69" t="n">
        <f aca="false">IFERROR(S104/$C$3,0)</f>
        <v>2.62813316984447E-006</v>
      </c>
      <c r="W104" s="69" t="n">
        <f aca="false">IFERROR(T104/$D$4,0)</f>
        <v>6.58879874086375E-006</v>
      </c>
      <c r="X104" s="73" t="n">
        <f aca="false">IFERROR((V104+W104)/2,0)</f>
        <v>4.60846595535411E-006</v>
      </c>
      <c r="Y104" s="66" t="n">
        <v>1</v>
      </c>
      <c r="Z104" s="59" t="str">
        <f aca="false">IFERROR(POWER(P104/C104,1/13)-1,"n/a")</f>
        <v>n/a</v>
      </c>
      <c r="AA104" s="41" t="str">
        <f aca="false">IFERROR(POWER(P104/J104,1/6)-1,"n/a")</f>
        <v>n/a</v>
      </c>
      <c r="AB104" s="42" t="str">
        <f aca="false">IFERROR(AA104-Z104,"n/a")</f>
        <v>n/a</v>
      </c>
      <c r="AC104" s="43" t="n">
        <f aca="false">IFERROR(SLOPE(C104:P104,{1,2,3,4,5,6,7,8,9,10,11,12,13,14})/AVERAGEIF(C104:P104,"&gt;0"),"n/a")</f>
        <v>0.0843888070692195</v>
      </c>
      <c r="AD104" s="44" t="n">
        <f aca="false">IFERROR(SLOPE(J104:P104,{1,2,3,4,5,6,7})/AVERAGEIF(J104:P104,"&gt;0"),"n/a")</f>
        <v>-0.20315734989648</v>
      </c>
      <c r="AE104" s="46" t="str">
        <f aca="false">IFERROR(J104/I104,"n/a")</f>
        <v>n/a</v>
      </c>
      <c r="AF104" s="46" t="str">
        <f aca="false">IFERROR(J104/H104,"n/a")</f>
        <v>n/a</v>
      </c>
      <c r="AG104" s="72" t="n">
        <v>0.623188405797101</v>
      </c>
      <c r="AH104" s="47" t="s">
        <v>136</v>
      </c>
      <c r="AI104" s="48" t="n">
        <v>0.05</v>
      </c>
      <c r="AJ104" s="49" t="s">
        <v>137</v>
      </c>
    </row>
    <row r="106" customFormat="false" ht="21.75" hidden="false" customHeight="true" outlineLevel="0" collapsed="false">
      <c r="A106" s="97" t="s">
        <v>290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97"/>
    </row>
    <row r="107" customFormat="false" ht="15" hidden="false" customHeight="true" outlineLevel="0" collapsed="false">
      <c r="A107" s="94" t="s">
        <v>291</v>
      </c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</row>
    <row r="108" customFormat="false" ht="16.5" hidden="false" customHeight="true" outlineLevel="0" collapsed="false">
      <c r="A108" s="95" t="s">
        <v>292</v>
      </c>
      <c r="B108" s="96" t="s">
        <v>293</v>
      </c>
      <c r="C108" s="50" t="s">
        <v>89</v>
      </c>
      <c r="D108" s="50" t="s">
        <v>89</v>
      </c>
      <c r="E108" s="50" t="s">
        <v>89</v>
      </c>
      <c r="F108" s="50" t="s">
        <v>89</v>
      </c>
      <c r="G108" s="50" t="s">
        <v>89</v>
      </c>
      <c r="H108" s="50" t="s">
        <v>89</v>
      </c>
      <c r="I108" s="50" t="s">
        <v>89</v>
      </c>
      <c r="J108" s="50" t="s">
        <v>89</v>
      </c>
      <c r="K108" s="50" t="s">
        <v>89</v>
      </c>
      <c r="L108" s="50" t="s">
        <v>89</v>
      </c>
      <c r="M108" s="50" t="s">
        <v>89</v>
      </c>
      <c r="N108" s="50" t="s">
        <v>89</v>
      </c>
      <c r="O108" s="50" t="s">
        <v>89</v>
      </c>
      <c r="P108" s="50" t="s">
        <v>89</v>
      </c>
      <c r="Q108" s="50" t="s">
        <v>89</v>
      </c>
      <c r="R108" s="33" t="n">
        <f aca="false">IFERROR(AVERAGEIF(C108:I108,"&gt;0"),0)</f>
        <v>0</v>
      </c>
      <c r="S108" s="34" t="n">
        <f aca="false">IFERROR(AVERAGEIF(J108:P108,"&gt;0"),0)</f>
        <v>0</v>
      </c>
      <c r="T108" s="89" t="n">
        <f aca="false">S108-R108</f>
        <v>0</v>
      </c>
      <c r="U108" s="81" t="str">
        <f aca="false">IFERROR(S108/R108,"n/a")</f>
        <v>n/a</v>
      </c>
      <c r="V108" s="69" t="n">
        <f aca="false">IFERROR(S108/$C$3,0)</f>
        <v>0</v>
      </c>
      <c r="W108" s="69" t="n">
        <f aca="false">IFERROR(T108/$D$4,0)</f>
        <v>0</v>
      </c>
      <c r="X108" s="73" t="n">
        <f aca="false">IFERROR((V108+W108)/2,0)</f>
        <v>0</v>
      </c>
      <c r="Y108" s="82"/>
      <c r="Z108" s="40" t="str">
        <f aca="false">IFERROR(POWER(P108/C108,1/13)-1,"n/a")</f>
        <v>n/a</v>
      </c>
      <c r="AA108" s="40" t="str">
        <f aca="false">IFERROR(POWER(P108/J108,1/6)-1,"n/a")</f>
        <v>n/a</v>
      </c>
      <c r="AB108" s="92" t="str">
        <f aca="false">IFERROR(AA108-Z108,"n/a")</f>
        <v>n/a</v>
      </c>
      <c r="AC108" s="90" t="str">
        <f aca="false">IFERROR(SLOPE(C108:P108,{1,2,3,4,5,6,7,8,9,10,11,12,13,14})/AVERAGEIF(C108:P108,"&gt;0"),"n/a")</f>
        <v>n/a</v>
      </c>
      <c r="AD108" s="90" t="str">
        <f aca="false">IFERROR(SLOPE(J108:P108,{1,2,3,4,5,6,7})/AVERAGEIF(J108:P108,"&gt;0"),"n/a")</f>
        <v>n/a</v>
      </c>
      <c r="AE108" s="46" t="str">
        <f aca="false">IFERROR(J108/I108,"n/a")</f>
        <v>n/a</v>
      </c>
      <c r="AF108" s="46" t="str">
        <f aca="false">IFERROR(J108/H108,"n/a")</f>
        <v>n/a</v>
      </c>
      <c r="AG108" s="91" t="s">
        <v>167</v>
      </c>
      <c r="AH108" s="47" t="s">
        <v>198</v>
      </c>
      <c r="AI108" s="60" t="n">
        <v>0.1925</v>
      </c>
      <c r="AJ108" s="61" t="s">
        <v>199</v>
      </c>
    </row>
    <row r="109" customFormat="false" ht="16.5" hidden="false" customHeight="true" outlineLevel="0" collapsed="false">
      <c r="A109" s="95" t="s">
        <v>294</v>
      </c>
      <c r="B109" s="96" t="s">
        <v>295</v>
      </c>
      <c r="C109" s="50" t="s">
        <v>89</v>
      </c>
      <c r="D109" s="50" t="s">
        <v>89</v>
      </c>
      <c r="E109" s="50" t="s">
        <v>89</v>
      </c>
      <c r="F109" s="50" t="s">
        <v>89</v>
      </c>
      <c r="G109" s="50" t="s">
        <v>89</v>
      </c>
      <c r="H109" s="50" t="s">
        <v>89</v>
      </c>
      <c r="I109" s="50" t="s">
        <v>89</v>
      </c>
      <c r="J109" s="50" t="s">
        <v>89</v>
      </c>
      <c r="K109" s="50" t="s">
        <v>89</v>
      </c>
      <c r="L109" s="50" t="s">
        <v>89</v>
      </c>
      <c r="M109" s="50" t="s">
        <v>89</v>
      </c>
      <c r="N109" s="50" t="s">
        <v>89</v>
      </c>
      <c r="O109" s="50" t="s">
        <v>89</v>
      </c>
      <c r="P109" s="50" t="s">
        <v>89</v>
      </c>
      <c r="Q109" s="50" t="s">
        <v>89</v>
      </c>
      <c r="R109" s="33" t="n">
        <f aca="false">IFERROR(AVERAGEIF(C109:I109,"&gt;0"),0)</f>
        <v>0</v>
      </c>
      <c r="S109" s="34" t="n">
        <f aca="false">IFERROR(AVERAGEIF(J109:P109,"&gt;0"),0)</f>
        <v>0</v>
      </c>
      <c r="T109" s="89" t="n">
        <f aca="false">S109-R109</f>
        <v>0</v>
      </c>
      <c r="U109" s="81" t="str">
        <f aca="false">IFERROR(S109/R109,"n/a")</f>
        <v>n/a</v>
      </c>
      <c r="V109" s="69" t="n">
        <f aca="false">IFERROR(S109/$C$3,0)</f>
        <v>0</v>
      </c>
      <c r="W109" s="69" t="n">
        <f aca="false">IFERROR(T109/$D$4,0)</f>
        <v>0</v>
      </c>
      <c r="X109" s="73" t="n">
        <f aca="false">IFERROR((V109+W109)/2,0)</f>
        <v>0</v>
      </c>
      <c r="Y109" s="82"/>
      <c r="Z109" s="40" t="str">
        <f aca="false">IFERROR(POWER(P109/C109,1/13)-1,"n/a")</f>
        <v>n/a</v>
      </c>
      <c r="AA109" s="40" t="str">
        <f aca="false">IFERROR(POWER(P109/J109,1/6)-1,"n/a")</f>
        <v>n/a</v>
      </c>
      <c r="AB109" s="92" t="str">
        <f aca="false">IFERROR(AA109-Z109,"n/a")</f>
        <v>n/a</v>
      </c>
      <c r="AC109" s="90" t="str">
        <f aca="false">IFERROR(SLOPE(C109:P109,{1,2,3,4,5,6,7,8,9,10,11,12,13,14})/AVERAGEIF(C109:P109,"&gt;0"),"n/a")</f>
        <v>n/a</v>
      </c>
      <c r="AD109" s="90" t="str">
        <f aca="false">IFERROR(SLOPE(J109:P109,{1,2,3,4,5,6,7})/AVERAGEIF(J109:P109,"&gt;0"),"n/a")</f>
        <v>n/a</v>
      </c>
      <c r="AE109" s="46" t="str">
        <f aca="false">IFERROR(J109/I109,"n/a")</f>
        <v>n/a</v>
      </c>
      <c r="AF109" s="46" t="str">
        <f aca="false">IFERROR(J109/H109,"n/a")</f>
        <v>n/a</v>
      </c>
      <c r="AG109" s="91" t="s">
        <v>167</v>
      </c>
      <c r="AH109" s="47" t="s">
        <v>136</v>
      </c>
      <c r="AI109" s="48" t="n">
        <v>0.05</v>
      </c>
      <c r="AJ109" s="49" t="s">
        <v>137</v>
      </c>
    </row>
    <row r="110" customFormat="false" ht="16.5" hidden="false" customHeight="true" outlineLevel="0" collapsed="false">
      <c r="A110" s="95" t="s">
        <v>296</v>
      </c>
      <c r="B110" s="96" t="s">
        <v>297</v>
      </c>
      <c r="C110" s="50" t="s">
        <v>89</v>
      </c>
      <c r="D110" s="50" t="s">
        <v>89</v>
      </c>
      <c r="E110" s="50" t="s">
        <v>89</v>
      </c>
      <c r="F110" s="50" t="s">
        <v>89</v>
      </c>
      <c r="G110" s="50" t="s">
        <v>89</v>
      </c>
      <c r="H110" s="50" t="s">
        <v>89</v>
      </c>
      <c r="I110" s="50" t="s">
        <v>89</v>
      </c>
      <c r="J110" s="50" t="s">
        <v>89</v>
      </c>
      <c r="K110" s="50" t="s">
        <v>89</v>
      </c>
      <c r="L110" s="50" t="s">
        <v>89</v>
      </c>
      <c r="M110" s="50" t="s">
        <v>89</v>
      </c>
      <c r="N110" s="50" t="s">
        <v>89</v>
      </c>
      <c r="O110" s="50" t="s">
        <v>89</v>
      </c>
      <c r="P110" s="50" t="s">
        <v>89</v>
      </c>
      <c r="Q110" s="50" t="s">
        <v>89</v>
      </c>
      <c r="R110" s="33" t="n">
        <f aca="false">IFERROR(AVERAGEIF(C110:I110,"&gt;0"),0)</f>
        <v>0</v>
      </c>
      <c r="S110" s="34" t="n">
        <f aca="false">IFERROR(AVERAGEIF(J110:P110,"&gt;0"),0)</f>
        <v>0</v>
      </c>
      <c r="T110" s="89" t="n">
        <f aca="false">S110-R110</f>
        <v>0</v>
      </c>
      <c r="U110" s="81" t="str">
        <f aca="false">IFERROR(S110/R110,"n/a")</f>
        <v>n/a</v>
      </c>
      <c r="V110" s="69" t="n">
        <f aca="false">IFERROR(S110/$C$3,0)</f>
        <v>0</v>
      </c>
      <c r="W110" s="69" t="n">
        <f aca="false">IFERROR(T110/$D$4,0)</f>
        <v>0</v>
      </c>
      <c r="X110" s="73" t="n">
        <f aca="false">IFERROR((V110+W110)/2,0)</f>
        <v>0</v>
      </c>
      <c r="Y110" s="82"/>
      <c r="Z110" s="40" t="str">
        <f aca="false">IFERROR(POWER(P110/C110,1/13)-1,"n/a")</f>
        <v>n/a</v>
      </c>
      <c r="AA110" s="40" t="str">
        <f aca="false">IFERROR(POWER(P110/J110,1/6)-1,"n/a")</f>
        <v>n/a</v>
      </c>
      <c r="AB110" s="92" t="str">
        <f aca="false">IFERROR(AA110-Z110,"n/a")</f>
        <v>n/a</v>
      </c>
      <c r="AC110" s="90" t="str">
        <f aca="false">IFERROR(SLOPE(C110:P110,{1,2,3,4,5,6,7,8,9,10,11,12,13,14})/AVERAGEIF(C110:P110,"&gt;0"),"n/a")</f>
        <v>n/a</v>
      </c>
      <c r="AD110" s="90" t="str">
        <f aca="false">IFERROR(SLOPE(J110:P110,{1,2,3,4,5,6,7})/AVERAGEIF(J110:P110,"&gt;0"),"n/a")</f>
        <v>n/a</v>
      </c>
      <c r="AE110" s="46" t="str">
        <f aca="false">IFERROR(J110/I110,"n/a")</f>
        <v>n/a</v>
      </c>
      <c r="AF110" s="46" t="str">
        <f aca="false">IFERROR(J110/H110,"n/a")</f>
        <v>n/a</v>
      </c>
      <c r="AG110" s="91" t="s">
        <v>167</v>
      </c>
      <c r="AH110" s="47" t="s">
        <v>90</v>
      </c>
      <c r="AI110" s="48" t="n">
        <v>0.025</v>
      </c>
      <c r="AJ110" s="49" t="s">
        <v>91</v>
      </c>
    </row>
    <row r="111" customFormat="false" ht="16.5" hidden="false" customHeight="true" outlineLevel="0" collapsed="false">
      <c r="A111" s="95" t="s">
        <v>298</v>
      </c>
      <c r="B111" s="96" t="s">
        <v>299</v>
      </c>
      <c r="C111" s="50" t="s">
        <v>89</v>
      </c>
      <c r="D111" s="50" t="s">
        <v>89</v>
      </c>
      <c r="E111" s="50" t="s">
        <v>89</v>
      </c>
      <c r="F111" s="50" t="s">
        <v>89</v>
      </c>
      <c r="G111" s="50" t="s">
        <v>89</v>
      </c>
      <c r="H111" s="50" t="s">
        <v>89</v>
      </c>
      <c r="I111" s="50" t="s">
        <v>89</v>
      </c>
      <c r="J111" s="50" t="s">
        <v>89</v>
      </c>
      <c r="K111" s="50" t="s">
        <v>89</v>
      </c>
      <c r="L111" s="50" t="s">
        <v>89</v>
      </c>
      <c r="M111" s="50" t="s">
        <v>89</v>
      </c>
      <c r="N111" s="50" t="s">
        <v>89</v>
      </c>
      <c r="O111" s="50" t="s">
        <v>89</v>
      </c>
      <c r="P111" s="50" t="s">
        <v>89</v>
      </c>
      <c r="Q111" s="50" t="s">
        <v>89</v>
      </c>
      <c r="R111" s="33" t="n">
        <f aca="false">IFERROR(AVERAGEIF(C111:I111,"&gt;0"),0)</f>
        <v>0</v>
      </c>
      <c r="S111" s="34" t="n">
        <f aca="false">IFERROR(AVERAGEIF(J111:P111,"&gt;0"),0)</f>
        <v>0</v>
      </c>
      <c r="T111" s="89" t="n">
        <f aca="false">S111-R111</f>
        <v>0</v>
      </c>
      <c r="U111" s="81" t="str">
        <f aca="false">IFERROR(S111/R111,"n/a")</f>
        <v>n/a</v>
      </c>
      <c r="V111" s="69" t="n">
        <f aca="false">IFERROR(S111/$C$3,0)</f>
        <v>0</v>
      </c>
      <c r="W111" s="69" t="n">
        <f aca="false">IFERROR(T111/$D$4,0)</f>
        <v>0</v>
      </c>
      <c r="X111" s="73" t="n">
        <f aca="false">IFERROR((V111+W111)/2,0)</f>
        <v>0</v>
      </c>
      <c r="Y111" s="82"/>
      <c r="Z111" s="40" t="str">
        <f aca="false">IFERROR(POWER(P111/C111,1/13)-1,"n/a")</f>
        <v>n/a</v>
      </c>
      <c r="AA111" s="40" t="str">
        <f aca="false">IFERROR(POWER(P111/J111,1/6)-1,"n/a")</f>
        <v>n/a</v>
      </c>
      <c r="AB111" s="92" t="str">
        <f aca="false">IFERROR(AA111-Z111,"n/a")</f>
        <v>n/a</v>
      </c>
      <c r="AC111" s="90" t="str">
        <f aca="false">IFERROR(SLOPE(C111:P111,{1,2,3,4,5,6,7,8,9,10,11,12,13,14})/AVERAGEIF(C111:P111,"&gt;0"),"n/a")</f>
        <v>n/a</v>
      </c>
      <c r="AD111" s="90" t="str">
        <f aca="false">IFERROR(SLOPE(J111:P111,{1,2,3,4,5,6,7})/AVERAGEIF(J111:P111,"&gt;0"),"n/a")</f>
        <v>n/a</v>
      </c>
      <c r="AE111" s="46" t="str">
        <f aca="false">IFERROR(J111/I111,"n/a")</f>
        <v>n/a</v>
      </c>
      <c r="AF111" s="46" t="str">
        <f aca="false">IFERROR(J111/H111,"n/a")</f>
        <v>n/a</v>
      </c>
      <c r="AG111" s="91" t="s">
        <v>167</v>
      </c>
      <c r="AH111" s="47" t="s">
        <v>190</v>
      </c>
      <c r="AI111" s="48" t="n">
        <v>0.1</v>
      </c>
      <c r="AJ111" s="61" t="s">
        <v>191</v>
      </c>
    </row>
    <row r="112" customFormat="false" ht="16.5" hidden="false" customHeight="true" outlineLevel="0" collapsed="false">
      <c r="A112" s="95" t="s">
        <v>300</v>
      </c>
      <c r="B112" s="96" t="s">
        <v>301</v>
      </c>
      <c r="C112" s="50" t="s">
        <v>89</v>
      </c>
      <c r="D112" s="50" t="s">
        <v>89</v>
      </c>
      <c r="E112" s="50" t="s">
        <v>89</v>
      </c>
      <c r="F112" s="50" t="s">
        <v>89</v>
      </c>
      <c r="G112" s="50" t="s">
        <v>89</v>
      </c>
      <c r="H112" s="50" t="s">
        <v>89</v>
      </c>
      <c r="I112" s="50" t="s">
        <v>89</v>
      </c>
      <c r="J112" s="50" t="s">
        <v>89</v>
      </c>
      <c r="K112" s="50" t="s">
        <v>89</v>
      </c>
      <c r="L112" s="50" t="s">
        <v>89</v>
      </c>
      <c r="M112" s="50" t="s">
        <v>89</v>
      </c>
      <c r="N112" s="50" t="s">
        <v>89</v>
      </c>
      <c r="O112" s="50" t="s">
        <v>89</v>
      </c>
      <c r="P112" s="50" t="s">
        <v>89</v>
      </c>
      <c r="Q112" s="50" t="s">
        <v>89</v>
      </c>
      <c r="R112" s="33" t="n">
        <f aca="false">IFERROR(AVERAGEIF(C112:I112,"&gt;0"),0)</f>
        <v>0</v>
      </c>
      <c r="S112" s="34" t="n">
        <f aca="false">IFERROR(AVERAGEIF(J112:P112,"&gt;0"),0)</f>
        <v>0</v>
      </c>
      <c r="T112" s="89" t="n">
        <f aca="false">S112-R112</f>
        <v>0</v>
      </c>
      <c r="U112" s="81" t="str">
        <f aca="false">IFERROR(S112/R112,"n/a")</f>
        <v>n/a</v>
      </c>
      <c r="V112" s="69" t="n">
        <f aca="false">IFERROR(S112/$C$3,0)</f>
        <v>0</v>
      </c>
      <c r="W112" s="69" t="n">
        <f aca="false">IFERROR(T112/$D$4,0)</f>
        <v>0</v>
      </c>
      <c r="X112" s="73" t="n">
        <f aca="false">IFERROR((V112+W112)/2,0)</f>
        <v>0</v>
      </c>
      <c r="Y112" s="82"/>
      <c r="Z112" s="40" t="str">
        <f aca="false">IFERROR(POWER(P112/C112,1/13)-1,"n/a")</f>
        <v>n/a</v>
      </c>
      <c r="AA112" s="40" t="str">
        <f aca="false">IFERROR(POWER(P112/J112,1/6)-1,"n/a")</f>
        <v>n/a</v>
      </c>
      <c r="AB112" s="92" t="str">
        <f aca="false">IFERROR(AA112-Z112,"n/a")</f>
        <v>n/a</v>
      </c>
      <c r="AC112" s="90" t="str">
        <f aca="false">IFERROR(SLOPE(C112:P112,{1,2,3,4,5,6,7,8,9,10,11,12,13,14})/AVERAGEIF(C112:P112,"&gt;0"),"n/a")</f>
        <v>n/a</v>
      </c>
      <c r="AD112" s="90" t="str">
        <f aca="false">IFERROR(SLOPE(J112:P112,{1,2,3,4,5,6,7})/AVERAGEIF(J112:P112,"&gt;0"),"n/a")</f>
        <v>n/a</v>
      </c>
      <c r="AE112" s="46" t="str">
        <f aca="false">IFERROR(J112/I112,"n/a")</f>
        <v>n/a</v>
      </c>
      <c r="AF112" s="46" t="str">
        <f aca="false">IFERROR(J112/H112,"n/a")</f>
        <v>n/a</v>
      </c>
      <c r="AG112" s="91" t="s">
        <v>167</v>
      </c>
      <c r="AH112" s="47" t="s">
        <v>256</v>
      </c>
      <c r="AI112" s="60" t="n">
        <v>0.5</v>
      </c>
      <c r="AJ112" s="61" t="s">
        <v>257</v>
      </c>
    </row>
    <row r="113" customFormat="false" ht="16.5" hidden="false" customHeight="true" outlineLevel="0" collapsed="false">
      <c r="A113" s="95" t="s">
        <v>302</v>
      </c>
      <c r="B113" s="96" t="s">
        <v>303</v>
      </c>
      <c r="C113" s="50" t="s">
        <v>89</v>
      </c>
      <c r="D113" s="50" t="s">
        <v>89</v>
      </c>
      <c r="E113" s="50" t="s">
        <v>89</v>
      </c>
      <c r="F113" s="50" t="s">
        <v>89</v>
      </c>
      <c r="G113" s="50" t="s">
        <v>89</v>
      </c>
      <c r="H113" s="50" t="s">
        <v>89</v>
      </c>
      <c r="I113" s="50" t="s">
        <v>89</v>
      </c>
      <c r="J113" s="50" t="s">
        <v>89</v>
      </c>
      <c r="K113" s="50" t="s">
        <v>89</v>
      </c>
      <c r="L113" s="50" t="s">
        <v>89</v>
      </c>
      <c r="M113" s="50" t="s">
        <v>89</v>
      </c>
      <c r="N113" s="50" t="s">
        <v>89</v>
      </c>
      <c r="O113" s="50" t="s">
        <v>89</v>
      </c>
      <c r="P113" s="50" t="s">
        <v>89</v>
      </c>
      <c r="Q113" s="50" t="s">
        <v>89</v>
      </c>
      <c r="R113" s="33" t="n">
        <f aca="false">IFERROR(AVERAGEIF(C113:I113,"&gt;0"),0)</f>
        <v>0</v>
      </c>
      <c r="S113" s="34" t="n">
        <f aca="false">IFERROR(AVERAGEIF(J113:P113,"&gt;0"),0)</f>
        <v>0</v>
      </c>
      <c r="T113" s="89" t="n">
        <f aca="false">S113-R113</f>
        <v>0</v>
      </c>
      <c r="U113" s="81" t="str">
        <f aca="false">IFERROR(S113/R113,"n/a")</f>
        <v>n/a</v>
      </c>
      <c r="V113" s="69" t="n">
        <f aca="false">IFERROR(S113/$C$3,0)</f>
        <v>0</v>
      </c>
      <c r="W113" s="69" t="n">
        <f aca="false">IFERROR(T113/$D$4,0)</f>
        <v>0</v>
      </c>
      <c r="X113" s="73" t="n">
        <f aca="false">IFERROR((V113+W113)/2,0)</f>
        <v>0</v>
      </c>
      <c r="Y113" s="82"/>
      <c r="Z113" s="40" t="str">
        <f aca="false">IFERROR(POWER(P113/C113,1/13)-1,"n/a")</f>
        <v>n/a</v>
      </c>
      <c r="AA113" s="40" t="str">
        <f aca="false">IFERROR(POWER(P113/J113,1/6)-1,"n/a")</f>
        <v>n/a</v>
      </c>
      <c r="AB113" s="92" t="str">
        <f aca="false">IFERROR(AA113-Z113,"n/a")</f>
        <v>n/a</v>
      </c>
      <c r="AC113" s="90" t="str">
        <f aca="false">IFERROR(SLOPE(C113:P113,{1,2,3,4,5,6,7,8,9,10,11,12,13,14})/AVERAGEIF(C113:P113,"&gt;0"),"n/a")</f>
        <v>n/a</v>
      </c>
      <c r="AD113" s="90" t="str">
        <f aca="false">IFERROR(SLOPE(J113:P113,{1,2,3,4,5,6,7})/AVERAGEIF(J113:P113,"&gt;0"),"n/a")</f>
        <v>n/a</v>
      </c>
      <c r="AE113" s="46" t="str">
        <f aca="false">IFERROR(J113/I113,"n/a")</f>
        <v>n/a</v>
      </c>
      <c r="AF113" s="46" t="str">
        <f aca="false">IFERROR(J113/H113,"n/a")</f>
        <v>n/a</v>
      </c>
      <c r="AG113" s="91" t="s">
        <v>167</v>
      </c>
      <c r="AH113" s="47" t="s">
        <v>90</v>
      </c>
      <c r="AI113" s="48" t="n">
        <v>0.025</v>
      </c>
      <c r="AJ113" s="49" t="s">
        <v>91</v>
      </c>
    </row>
    <row r="114" customFormat="false" ht="16.5" hidden="false" customHeight="true" outlineLevel="0" collapsed="false">
      <c r="A114" s="95" t="s">
        <v>304</v>
      </c>
      <c r="B114" s="96" t="s">
        <v>305</v>
      </c>
      <c r="C114" s="50" t="s">
        <v>89</v>
      </c>
      <c r="D114" s="50" t="s">
        <v>89</v>
      </c>
      <c r="E114" s="50" t="s">
        <v>89</v>
      </c>
      <c r="F114" s="50" t="s">
        <v>89</v>
      </c>
      <c r="G114" s="50" t="s">
        <v>89</v>
      </c>
      <c r="H114" s="50" t="s">
        <v>89</v>
      </c>
      <c r="I114" s="50" t="s">
        <v>89</v>
      </c>
      <c r="J114" s="50" t="s">
        <v>89</v>
      </c>
      <c r="K114" s="50" t="s">
        <v>89</v>
      </c>
      <c r="L114" s="50" t="s">
        <v>89</v>
      </c>
      <c r="M114" s="50" t="s">
        <v>89</v>
      </c>
      <c r="N114" s="50" t="s">
        <v>89</v>
      </c>
      <c r="O114" s="50" t="s">
        <v>89</v>
      </c>
      <c r="P114" s="50" t="s">
        <v>89</v>
      </c>
      <c r="Q114" s="50" t="s">
        <v>89</v>
      </c>
      <c r="R114" s="33" t="n">
        <f aca="false">IFERROR(AVERAGEIF(C114:I114,"&gt;0"),0)</f>
        <v>0</v>
      </c>
      <c r="S114" s="34" t="n">
        <f aca="false">IFERROR(AVERAGEIF(J114:P114,"&gt;0"),0)</f>
        <v>0</v>
      </c>
      <c r="T114" s="89" t="n">
        <f aca="false">S114-R114</f>
        <v>0</v>
      </c>
      <c r="U114" s="81" t="str">
        <f aca="false">IFERROR(S114/R114,"n/a")</f>
        <v>n/a</v>
      </c>
      <c r="V114" s="69" t="n">
        <f aca="false">IFERROR(S114/$C$3,0)</f>
        <v>0</v>
      </c>
      <c r="W114" s="69" t="n">
        <f aca="false">IFERROR(T114/$D$4,0)</f>
        <v>0</v>
      </c>
      <c r="X114" s="73" t="n">
        <f aca="false">IFERROR((V114+W114)/2,0)</f>
        <v>0</v>
      </c>
      <c r="Y114" s="82"/>
      <c r="Z114" s="40" t="str">
        <f aca="false">IFERROR(POWER(P114/C114,1/13)-1,"n/a")</f>
        <v>n/a</v>
      </c>
      <c r="AA114" s="40" t="str">
        <f aca="false">IFERROR(POWER(P114/J114,1/6)-1,"n/a")</f>
        <v>n/a</v>
      </c>
      <c r="AB114" s="92" t="str">
        <f aca="false">IFERROR(AA114-Z114,"n/a")</f>
        <v>n/a</v>
      </c>
      <c r="AC114" s="90" t="str">
        <f aca="false">IFERROR(SLOPE(C114:P114,{1,2,3,4,5,6,7,8,9,10,11,12,13,14})/AVERAGEIF(C114:P114,"&gt;0"),"n/a")</f>
        <v>n/a</v>
      </c>
      <c r="AD114" s="90" t="str">
        <f aca="false">IFERROR(SLOPE(J114:P114,{1,2,3,4,5,6,7})/AVERAGEIF(J114:P114,"&gt;0"),"n/a")</f>
        <v>n/a</v>
      </c>
      <c r="AE114" s="46" t="str">
        <f aca="false">IFERROR(J114/I114,"n/a")</f>
        <v>n/a</v>
      </c>
      <c r="AF114" s="46" t="str">
        <f aca="false">IFERROR(J114/H114,"n/a")</f>
        <v>n/a</v>
      </c>
      <c r="AG114" s="91" t="s">
        <v>167</v>
      </c>
      <c r="AH114" s="47" t="s">
        <v>90</v>
      </c>
      <c r="AI114" s="48" t="n">
        <v>0.025</v>
      </c>
      <c r="AJ114" s="49" t="s">
        <v>91</v>
      </c>
    </row>
    <row r="115" customFormat="false" ht="16.5" hidden="false" customHeight="true" outlineLevel="0" collapsed="false">
      <c r="A115" s="95" t="s">
        <v>306</v>
      </c>
      <c r="B115" s="96" t="s">
        <v>307</v>
      </c>
      <c r="C115" s="50" t="s">
        <v>89</v>
      </c>
      <c r="D115" s="50" t="s">
        <v>89</v>
      </c>
      <c r="E115" s="50" t="s">
        <v>89</v>
      </c>
      <c r="F115" s="50" t="s">
        <v>89</v>
      </c>
      <c r="G115" s="50" t="s">
        <v>89</v>
      </c>
      <c r="H115" s="50" t="s">
        <v>89</v>
      </c>
      <c r="I115" s="50" t="s">
        <v>89</v>
      </c>
      <c r="J115" s="50" t="s">
        <v>89</v>
      </c>
      <c r="K115" s="50" t="s">
        <v>89</v>
      </c>
      <c r="L115" s="50" t="s">
        <v>89</v>
      </c>
      <c r="M115" s="50" t="s">
        <v>89</v>
      </c>
      <c r="N115" s="50" t="s">
        <v>89</v>
      </c>
      <c r="O115" s="50" t="s">
        <v>89</v>
      </c>
      <c r="P115" s="50" t="s">
        <v>89</v>
      </c>
      <c r="Q115" s="50" t="s">
        <v>89</v>
      </c>
      <c r="R115" s="33" t="n">
        <f aca="false">IFERROR(AVERAGEIF(C115:I115,"&gt;0"),0)</f>
        <v>0</v>
      </c>
      <c r="S115" s="34" t="n">
        <f aca="false">IFERROR(AVERAGEIF(J115:P115,"&gt;0"),0)</f>
        <v>0</v>
      </c>
      <c r="T115" s="89" t="n">
        <f aca="false">S115-R115</f>
        <v>0</v>
      </c>
      <c r="U115" s="81" t="str">
        <f aca="false">IFERROR(S115/R115,"n/a")</f>
        <v>n/a</v>
      </c>
      <c r="V115" s="69" t="n">
        <f aca="false">IFERROR(S115/$C$3,0)</f>
        <v>0</v>
      </c>
      <c r="W115" s="69" t="n">
        <f aca="false">IFERROR(T115/$D$4,0)</f>
        <v>0</v>
      </c>
      <c r="X115" s="73" t="n">
        <f aca="false">IFERROR((V115+W115)/2,0)</f>
        <v>0</v>
      </c>
      <c r="Y115" s="82"/>
      <c r="Z115" s="40" t="str">
        <f aca="false">IFERROR(POWER(P115/C115,1/13)-1,"n/a")</f>
        <v>n/a</v>
      </c>
      <c r="AA115" s="40" t="str">
        <f aca="false">IFERROR(POWER(P115/J115,1/6)-1,"n/a")</f>
        <v>n/a</v>
      </c>
      <c r="AB115" s="92" t="str">
        <f aca="false">IFERROR(AA115-Z115,"n/a")</f>
        <v>n/a</v>
      </c>
      <c r="AC115" s="90" t="str">
        <f aca="false">IFERROR(SLOPE(C115:P115,{1,2,3,4,5,6,7,8,9,10,11,12,13,14})/AVERAGEIF(C115:P115,"&gt;0"),"n/a")</f>
        <v>n/a</v>
      </c>
      <c r="AD115" s="90" t="str">
        <f aca="false">IFERROR(SLOPE(J115:P115,{1,2,3,4,5,6,7})/AVERAGEIF(J115:P115,"&gt;0"),"n/a")</f>
        <v>n/a</v>
      </c>
      <c r="AE115" s="46" t="str">
        <f aca="false">IFERROR(J115/I115,"n/a")</f>
        <v>n/a</v>
      </c>
      <c r="AF115" s="46" t="str">
        <f aca="false">IFERROR(J115/H115,"n/a")</f>
        <v>n/a</v>
      </c>
      <c r="AG115" s="91" t="s">
        <v>167</v>
      </c>
      <c r="AH115" s="47" t="s">
        <v>90</v>
      </c>
      <c r="AI115" s="48" t="n">
        <v>0.025</v>
      </c>
      <c r="AJ115" s="49" t="s">
        <v>91</v>
      </c>
    </row>
    <row r="116" customFormat="false" ht="16.5" hidden="false" customHeight="true" outlineLevel="0" collapsed="false">
      <c r="A116" s="95" t="s">
        <v>308</v>
      </c>
      <c r="B116" s="96" t="s">
        <v>309</v>
      </c>
      <c r="C116" s="50" t="s">
        <v>89</v>
      </c>
      <c r="D116" s="50" t="s">
        <v>89</v>
      </c>
      <c r="E116" s="50" t="s">
        <v>89</v>
      </c>
      <c r="F116" s="50" t="s">
        <v>89</v>
      </c>
      <c r="G116" s="30" t="n">
        <v>1520</v>
      </c>
      <c r="H116" s="50" t="s">
        <v>89</v>
      </c>
      <c r="I116" s="30" t="n">
        <v>102170</v>
      </c>
      <c r="J116" s="50" t="s">
        <v>89</v>
      </c>
      <c r="K116" s="50" t="s">
        <v>89</v>
      </c>
      <c r="L116" s="50" t="s">
        <v>89</v>
      </c>
      <c r="M116" s="50" t="s">
        <v>89</v>
      </c>
      <c r="N116" s="50" t="s">
        <v>89</v>
      </c>
      <c r="O116" s="50" t="s">
        <v>89</v>
      </c>
      <c r="P116" s="50" t="s">
        <v>89</v>
      </c>
      <c r="Q116" s="50" t="s">
        <v>89</v>
      </c>
      <c r="R116" s="33" t="n">
        <f aca="false">IFERROR(AVERAGEIF(C116:I116,"&gt;0"),0)</f>
        <v>51845</v>
      </c>
      <c r="S116" s="34" t="n">
        <f aca="false">IFERROR(AVERAGEIF(J116:P116,"&gt;0"),0)</f>
        <v>0</v>
      </c>
      <c r="T116" s="80" t="n">
        <f aca="false">S116-R116</f>
        <v>-51845</v>
      </c>
      <c r="U116" s="81" t="n">
        <f aca="false">IFERROR(S116/R116,"n/a")</f>
        <v>0</v>
      </c>
      <c r="V116" s="69" t="n">
        <f aca="false">IFERROR(S116/$C$3,0)</f>
        <v>0</v>
      </c>
      <c r="W116" s="69" t="n">
        <f aca="false">IFERROR(T116/$D$4,0)</f>
        <v>-0.00135285651770329</v>
      </c>
      <c r="X116" s="73" t="n">
        <f aca="false">IFERROR((V116+W116)/2,0)</f>
        <v>-0.000676428258851646</v>
      </c>
      <c r="Y116" s="82"/>
      <c r="Z116" s="59" t="str">
        <f aca="false">IFERROR(POWER(P116/C116,1/13)-1,"n/a")</f>
        <v>n/a</v>
      </c>
      <c r="AA116" s="40" t="str">
        <f aca="false">IFERROR(POWER(P116/J116,1/6)-1,"n/a")</f>
        <v>n/a</v>
      </c>
      <c r="AB116" s="92" t="str">
        <f aca="false">IFERROR(AA116-Z116,"n/a")</f>
        <v>n/a</v>
      </c>
      <c r="AC116" s="90" t="n">
        <f aca="false">IFERROR(SLOPE(C116:P116,{1,2,3,4,5,6,7,8,9,10,11,12,13,14})/AVERAGEIF(C116:P116,"&gt;0"),"n/a")</f>
        <v>0.970681840100299</v>
      </c>
      <c r="AD116" s="90" t="str">
        <f aca="false">IFERROR(SLOPE(J116:P116,{1,2,3,4,5,6,7})/AVERAGEIF(J116:P116,"&gt;0"),"n/a")</f>
        <v>n/a</v>
      </c>
      <c r="AE116" s="46" t="str">
        <f aca="false">IFERROR(J116/I116,"n/a")</f>
        <v>n/a</v>
      </c>
      <c r="AF116" s="46" t="str">
        <f aca="false">IFERROR(J116/H116,"n/a")</f>
        <v>n/a</v>
      </c>
      <c r="AG116" s="91" t="s">
        <v>167</v>
      </c>
      <c r="AH116" s="47" t="s">
        <v>190</v>
      </c>
      <c r="AI116" s="48" t="n">
        <v>0.1</v>
      </c>
      <c r="AJ116" s="61" t="s">
        <v>191</v>
      </c>
    </row>
    <row r="117" customFormat="false" ht="16.5" hidden="false" customHeight="true" outlineLevel="0" collapsed="false">
      <c r="A117" s="95" t="s">
        <v>310</v>
      </c>
      <c r="B117" s="96" t="s">
        <v>311</v>
      </c>
      <c r="C117" s="50" t="s">
        <v>89</v>
      </c>
      <c r="D117" s="50" t="s">
        <v>89</v>
      </c>
      <c r="E117" s="50" t="s">
        <v>89</v>
      </c>
      <c r="F117" s="50" t="s">
        <v>89</v>
      </c>
      <c r="G117" s="50" t="s">
        <v>89</v>
      </c>
      <c r="H117" s="50" t="s">
        <v>89</v>
      </c>
      <c r="I117" s="50" t="s">
        <v>89</v>
      </c>
      <c r="J117" s="50" t="s">
        <v>89</v>
      </c>
      <c r="K117" s="50" t="s">
        <v>89</v>
      </c>
      <c r="L117" s="50" t="s">
        <v>89</v>
      </c>
      <c r="M117" s="50" t="s">
        <v>89</v>
      </c>
      <c r="N117" s="50" t="s">
        <v>89</v>
      </c>
      <c r="O117" s="50" t="s">
        <v>89</v>
      </c>
      <c r="P117" s="50" t="s">
        <v>89</v>
      </c>
      <c r="Q117" s="50" t="s">
        <v>89</v>
      </c>
      <c r="R117" s="33" t="n">
        <f aca="false">IFERROR(AVERAGEIF(C117:I117,"&gt;0"),0)</f>
        <v>0</v>
      </c>
      <c r="S117" s="34" t="n">
        <f aca="false">IFERROR(AVERAGEIF(J117:P117,"&gt;0"),0)</f>
        <v>0</v>
      </c>
      <c r="T117" s="89" t="n">
        <f aca="false">S117-R117</f>
        <v>0</v>
      </c>
      <c r="U117" s="81" t="str">
        <f aca="false">IFERROR(S117/R117,"n/a")</f>
        <v>n/a</v>
      </c>
      <c r="V117" s="69" t="n">
        <f aca="false">IFERROR(S117/$C$3,0)</f>
        <v>0</v>
      </c>
      <c r="W117" s="69" t="n">
        <f aca="false">IFERROR(T117/$D$4,0)</f>
        <v>0</v>
      </c>
      <c r="X117" s="73" t="n">
        <f aca="false">IFERROR((V117+W117)/2,0)</f>
        <v>0</v>
      </c>
      <c r="Y117" s="82"/>
      <c r="Z117" s="40" t="str">
        <f aca="false">IFERROR(POWER(P117/C117,1/13)-1,"n/a")</f>
        <v>n/a</v>
      </c>
      <c r="AA117" s="40" t="str">
        <f aca="false">IFERROR(POWER(P117/J117,1/6)-1,"n/a")</f>
        <v>n/a</v>
      </c>
      <c r="AB117" s="92" t="str">
        <f aca="false">IFERROR(AA117-Z117,"n/a")</f>
        <v>n/a</v>
      </c>
      <c r="AC117" s="90" t="str">
        <f aca="false">IFERROR(SLOPE(C117:P117,{1,2,3,4,5,6,7,8,9,10,11,12,13,14})/AVERAGEIF(C117:P117,"&gt;0"),"n/a")</f>
        <v>n/a</v>
      </c>
      <c r="AD117" s="90" t="str">
        <f aca="false">IFERROR(SLOPE(J117:P117,{1,2,3,4,5,6,7})/AVERAGEIF(J117:P117,"&gt;0"),"n/a")</f>
        <v>n/a</v>
      </c>
      <c r="AE117" s="46" t="str">
        <f aca="false">IFERROR(J117/I117,"n/a")</f>
        <v>n/a</v>
      </c>
      <c r="AF117" s="46" t="str">
        <f aca="false">IFERROR(J117/H117,"n/a")</f>
        <v>n/a</v>
      </c>
      <c r="AG117" s="91" t="s">
        <v>167</v>
      </c>
      <c r="AH117" s="47" t="s">
        <v>136</v>
      </c>
      <c r="AI117" s="48" t="n">
        <v>0.05</v>
      </c>
      <c r="AJ117" s="49" t="s">
        <v>137</v>
      </c>
    </row>
    <row r="118" customFormat="false" ht="16.5" hidden="false" customHeight="true" outlineLevel="0" collapsed="false">
      <c r="A118" s="95" t="s">
        <v>312</v>
      </c>
      <c r="B118" s="96" t="s">
        <v>313</v>
      </c>
      <c r="C118" s="50" t="s">
        <v>89</v>
      </c>
      <c r="D118" s="50" t="s">
        <v>89</v>
      </c>
      <c r="E118" s="30" t="n">
        <v>23692</v>
      </c>
      <c r="F118" s="30" t="n">
        <v>3</v>
      </c>
      <c r="G118" s="30" t="n">
        <v>2129</v>
      </c>
      <c r="H118" s="50" t="s">
        <v>89</v>
      </c>
      <c r="I118" s="50" t="s">
        <v>89</v>
      </c>
      <c r="J118" s="50" t="s">
        <v>89</v>
      </c>
      <c r="K118" s="50" t="s">
        <v>89</v>
      </c>
      <c r="L118" s="50" t="s">
        <v>89</v>
      </c>
      <c r="M118" s="50" t="s">
        <v>89</v>
      </c>
      <c r="N118" s="50" t="s">
        <v>89</v>
      </c>
      <c r="O118" s="50" t="s">
        <v>89</v>
      </c>
      <c r="P118" s="50" t="s">
        <v>89</v>
      </c>
      <c r="Q118" s="50" t="s">
        <v>89</v>
      </c>
      <c r="R118" s="33" t="n">
        <f aca="false">IFERROR(AVERAGEIF(C118:I118,"&gt;0"),0)</f>
        <v>8608</v>
      </c>
      <c r="S118" s="34" t="n">
        <f aca="false">IFERROR(AVERAGEIF(J118:P118,"&gt;0"),0)</f>
        <v>0</v>
      </c>
      <c r="T118" s="80" t="n">
        <f aca="false">S118-R118</f>
        <v>-8608</v>
      </c>
      <c r="U118" s="81" t="n">
        <f aca="false">IFERROR(S118/R118,"n/a")</f>
        <v>0</v>
      </c>
      <c r="V118" s="69" t="n">
        <f aca="false">IFERROR(S118/$C$3,0)</f>
        <v>0</v>
      </c>
      <c r="W118" s="69" t="n">
        <f aca="false">IFERROR(T118/$D$4,0)</f>
        <v>-0.000224619324995466</v>
      </c>
      <c r="X118" s="73" t="n">
        <f aca="false">IFERROR((V118+W118)/2,0)</f>
        <v>-0.000112309662497733</v>
      </c>
      <c r="Y118" s="82"/>
      <c r="Z118" s="41" t="str">
        <f aca="false">IFERROR(POWER(P118/C118,1/13)-1,"n/a")</f>
        <v>n/a</v>
      </c>
      <c r="AA118" s="40" t="str">
        <f aca="false">IFERROR(POWER(P118/J118,1/6)-1,"n/a")</f>
        <v>n/a</v>
      </c>
      <c r="AB118" s="92" t="str">
        <f aca="false">IFERROR(AA118-Z118,"n/a")</f>
        <v>n/a</v>
      </c>
      <c r="AC118" s="44" t="n">
        <f aca="false">IFERROR(SLOPE(C118:P118,{1,2,3,4,5,6,7,8,9,10,11,12,13,14})/AVERAGEIF(C118:P118,"&gt;0"),"n/a")</f>
        <v>-1.25249767657993</v>
      </c>
      <c r="AD118" s="90" t="str">
        <f aca="false">IFERROR(SLOPE(J118:P118,{1,2,3,4,5,6,7})/AVERAGEIF(J118:P118,"&gt;0"),"n/a")</f>
        <v>n/a</v>
      </c>
      <c r="AE118" s="46" t="str">
        <f aca="false">IFERROR(J118/I118,"n/a")</f>
        <v>n/a</v>
      </c>
      <c r="AF118" s="46" t="str">
        <f aca="false">IFERROR(J118/H118,"n/a")</f>
        <v>n/a</v>
      </c>
      <c r="AG118" s="91" t="s">
        <v>167</v>
      </c>
      <c r="AH118" s="47" t="s">
        <v>136</v>
      </c>
      <c r="AI118" s="48" t="n">
        <v>0.05</v>
      </c>
      <c r="AJ118" s="49" t="s">
        <v>137</v>
      </c>
    </row>
    <row r="119" customFormat="false" ht="16.5" hidden="false" customHeight="true" outlineLevel="0" collapsed="false">
      <c r="A119" s="95" t="s">
        <v>314</v>
      </c>
      <c r="B119" s="96" t="s">
        <v>315</v>
      </c>
      <c r="C119" s="50" t="s">
        <v>89</v>
      </c>
      <c r="D119" s="50" t="s">
        <v>89</v>
      </c>
      <c r="E119" s="50" t="s">
        <v>89</v>
      </c>
      <c r="F119" s="50" t="s">
        <v>89</v>
      </c>
      <c r="G119" s="30" t="n">
        <v>317</v>
      </c>
      <c r="H119" s="30" t="n">
        <v>1947</v>
      </c>
      <c r="I119" s="50" t="s">
        <v>89</v>
      </c>
      <c r="J119" s="50" t="s">
        <v>89</v>
      </c>
      <c r="K119" s="50" t="s">
        <v>89</v>
      </c>
      <c r="L119" s="50" t="s">
        <v>89</v>
      </c>
      <c r="M119" s="50" t="s">
        <v>89</v>
      </c>
      <c r="N119" s="50" t="s">
        <v>89</v>
      </c>
      <c r="O119" s="50" t="s">
        <v>89</v>
      </c>
      <c r="P119" s="50" t="s">
        <v>89</v>
      </c>
      <c r="Q119" s="50" t="s">
        <v>89</v>
      </c>
      <c r="R119" s="33" t="n">
        <f aca="false">IFERROR(AVERAGEIF(C119:I119,"&gt;0"),0)</f>
        <v>1132</v>
      </c>
      <c r="S119" s="34" t="n">
        <f aca="false">IFERROR(AVERAGEIF(J119:P119,"&gt;0"),0)</f>
        <v>0</v>
      </c>
      <c r="T119" s="80" t="n">
        <f aca="false">S119-R119</f>
        <v>-1132</v>
      </c>
      <c r="U119" s="81" t="n">
        <f aca="false">IFERROR(S119/R119,"n/a")</f>
        <v>0</v>
      </c>
      <c r="V119" s="69" t="n">
        <f aca="false">IFERROR(S119/$C$3,0)</f>
        <v>0</v>
      </c>
      <c r="W119" s="69" t="n">
        <f aca="false">IFERROR(T119/$D$4,0)</f>
        <v>-2.95386937610208E-005</v>
      </c>
      <c r="X119" s="73" t="n">
        <f aca="false">IFERROR((V119+W119)/2,0)</f>
        <v>-1.47693468805104E-005</v>
      </c>
      <c r="Y119" s="82"/>
      <c r="Z119" s="59" t="str">
        <f aca="false">IFERROR(POWER(P119/C119,1/13)-1,"n/a")</f>
        <v>n/a</v>
      </c>
      <c r="AA119" s="40" t="str">
        <f aca="false">IFERROR(POWER(P119/J119,1/6)-1,"n/a")</f>
        <v>n/a</v>
      </c>
      <c r="AB119" s="92" t="str">
        <f aca="false">IFERROR(AA119-Z119,"n/a")</f>
        <v>n/a</v>
      </c>
      <c r="AC119" s="90" t="n">
        <f aca="false">IFERROR(SLOPE(C119:P119,{1,2,3,4,5,6,7,8,9,10,11,12,13,14})/AVERAGEIF(C119:P119,"&gt;0"),"n/a")</f>
        <v>1.43992932862191</v>
      </c>
      <c r="AD119" s="90" t="str">
        <f aca="false">IFERROR(SLOPE(J119:P119,{1,2,3,4,5,6,7})/AVERAGEIF(J119:P119,"&gt;0"),"n/a")</f>
        <v>n/a</v>
      </c>
      <c r="AE119" s="46" t="str">
        <f aca="false">IFERROR(J119/I119,"n/a")</f>
        <v>n/a</v>
      </c>
      <c r="AF119" s="46" t="str">
        <f aca="false">IFERROR(J119/H119,"n/a")</f>
        <v>n/a</v>
      </c>
      <c r="AG119" s="91" t="s">
        <v>167</v>
      </c>
      <c r="AH119" s="47" t="s">
        <v>136</v>
      </c>
      <c r="AI119" s="48" t="n">
        <v>0.05</v>
      </c>
      <c r="AJ119" s="49" t="s">
        <v>137</v>
      </c>
    </row>
    <row r="120" customFormat="false" ht="16.5" hidden="false" customHeight="true" outlineLevel="0" collapsed="false">
      <c r="A120" s="95" t="s">
        <v>316</v>
      </c>
      <c r="B120" s="96" t="s">
        <v>317</v>
      </c>
      <c r="C120" s="50" t="s">
        <v>89</v>
      </c>
      <c r="D120" s="50" t="s">
        <v>89</v>
      </c>
      <c r="E120" s="50" t="s">
        <v>89</v>
      </c>
      <c r="F120" s="50" t="s">
        <v>89</v>
      </c>
      <c r="G120" s="50" t="s">
        <v>89</v>
      </c>
      <c r="H120" s="50" t="s">
        <v>89</v>
      </c>
      <c r="I120" s="50" t="s">
        <v>89</v>
      </c>
      <c r="J120" s="50" t="s">
        <v>89</v>
      </c>
      <c r="K120" s="50" t="s">
        <v>89</v>
      </c>
      <c r="L120" s="50" t="s">
        <v>89</v>
      </c>
      <c r="M120" s="50" t="s">
        <v>89</v>
      </c>
      <c r="N120" s="50" t="s">
        <v>89</v>
      </c>
      <c r="O120" s="50" t="s">
        <v>89</v>
      </c>
      <c r="P120" s="50" t="s">
        <v>89</v>
      </c>
      <c r="Q120" s="50" t="s">
        <v>89</v>
      </c>
      <c r="R120" s="33" t="n">
        <f aca="false">IFERROR(AVERAGEIF(C120:I120,"&gt;0"),0)</f>
        <v>0</v>
      </c>
      <c r="S120" s="34" t="n">
        <f aca="false">IFERROR(AVERAGEIF(J120:P120,"&gt;0"),0)</f>
        <v>0</v>
      </c>
      <c r="T120" s="89" t="n">
        <f aca="false">S120-R120</f>
        <v>0</v>
      </c>
      <c r="U120" s="81" t="str">
        <f aca="false">IFERROR(S120/R120,"n/a")</f>
        <v>n/a</v>
      </c>
      <c r="V120" s="69" t="n">
        <f aca="false">IFERROR(S120/$C$3,0)</f>
        <v>0</v>
      </c>
      <c r="W120" s="69" t="n">
        <f aca="false">IFERROR(T120/$D$4,0)</f>
        <v>0</v>
      </c>
      <c r="X120" s="73" t="n">
        <f aca="false">IFERROR((V120+W120)/2,0)</f>
        <v>0</v>
      </c>
      <c r="Y120" s="82"/>
      <c r="Z120" s="40" t="str">
        <f aca="false">IFERROR(POWER(P120/C120,1/13)-1,"n/a")</f>
        <v>n/a</v>
      </c>
      <c r="AA120" s="40" t="str">
        <f aca="false">IFERROR(POWER(P120/J120,1/6)-1,"n/a")</f>
        <v>n/a</v>
      </c>
      <c r="AB120" s="92" t="str">
        <f aca="false">IFERROR(AA120-Z120,"n/a")</f>
        <v>n/a</v>
      </c>
      <c r="AC120" s="90" t="str">
        <f aca="false">IFERROR(SLOPE(C120:P120,{1,2,3,4,5,6,7,8,9,10,11,12,13,14})/AVERAGEIF(C120:P120,"&gt;0"),"n/a")</f>
        <v>n/a</v>
      </c>
      <c r="AD120" s="90" t="str">
        <f aca="false">IFERROR(SLOPE(J120:P120,{1,2,3,4,5,6,7})/AVERAGEIF(J120:P120,"&gt;0"),"n/a")</f>
        <v>n/a</v>
      </c>
      <c r="AE120" s="46" t="str">
        <f aca="false">IFERROR(J120/I120,"n/a")</f>
        <v>n/a</v>
      </c>
      <c r="AF120" s="46" t="str">
        <f aca="false">IFERROR(J120/H120,"n/a")</f>
        <v>n/a</v>
      </c>
      <c r="AG120" s="91" t="s">
        <v>167</v>
      </c>
      <c r="AH120" s="47" t="s">
        <v>85</v>
      </c>
      <c r="AI120" s="48" t="n">
        <v>0.04</v>
      </c>
      <c r="AJ120" s="49" t="s">
        <v>86</v>
      </c>
    </row>
    <row r="121" customFormat="false" ht="16.5" hidden="false" customHeight="true" outlineLevel="0" collapsed="false">
      <c r="A121" s="95" t="s">
        <v>318</v>
      </c>
      <c r="B121" s="96" t="s">
        <v>319</v>
      </c>
      <c r="C121" s="50" t="s">
        <v>89</v>
      </c>
      <c r="D121" s="50" t="s">
        <v>89</v>
      </c>
      <c r="E121" s="50" t="s">
        <v>89</v>
      </c>
      <c r="F121" s="50" t="s">
        <v>89</v>
      </c>
      <c r="G121" s="50" t="s">
        <v>89</v>
      </c>
      <c r="H121" s="50" t="s">
        <v>89</v>
      </c>
      <c r="I121" s="50" t="s">
        <v>89</v>
      </c>
      <c r="J121" s="50" t="s">
        <v>89</v>
      </c>
      <c r="K121" s="50" t="s">
        <v>89</v>
      </c>
      <c r="L121" s="50" t="s">
        <v>89</v>
      </c>
      <c r="M121" s="50" t="s">
        <v>89</v>
      </c>
      <c r="N121" s="50" t="s">
        <v>89</v>
      </c>
      <c r="O121" s="50" t="s">
        <v>89</v>
      </c>
      <c r="P121" s="50" t="s">
        <v>89</v>
      </c>
      <c r="Q121" s="50" t="s">
        <v>89</v>
      </c>
      <c r="R121" s="33" t="n">
        <f aca="false">IFERROR(AVERAGEIF(C121:I121,"&gt;0"),0)</f>
        <v>0</v>
      </c>
      <c r="S121" s="34" t="n">
        <f aca="false">IFERROR(AVERAGEIF(J121:P121,"&gt;0"),0)</f>
        <v>0</v>
      </c>
      <c r="T121" s="89" t="n">
        <f aca="false">S121-R121</f>
        <v>0</v>
      </c>
      <c r="U121" s="81" t="str">
        <f aca="false">IFERROR(S121/R121,"n/a")</f>
        <v>n/a</v>
      </c>
      <c r="V121" s="69" t="n">
        <f aca="false">IFERROR(S121/$C$3,0)</f>
        <v>0</v>
      </c>
      <c r="W121" s="69" t="n">
        <f aca="false">IFERROR(T121/$D$4,0)</f>
        <v>0</v>
      </c>
      <c r="X121" s="73" t="n">
        <f aca="false">IFERROR((V121+W121)/2,0)</f>
        <v>0</v>
      </c>
      <c r="Y121" s="82"/>
      <c r="Z121" s="40" t="str">
        <f aca="false">IFERROR(POWER(P121/C121,1/13)-1,"n/a")</f>
        <v>n/a</v>
      </c>
      <c r="AA121" s="40" t="str">
        <f aca="false">IFERROR(POWER(P121/J121,1/6)-1,"n/a")</f>
        <v>n/a</v>
      </c>
      <c r="AB121" s="92" t="str">
        <f aca="false">IFERROR(AA121-Z121,"n/a")</f>
        <v>n/a</v>
      </c>
      <c r="AC121" s="90" t="str">
        <f aca="false">IFERROR(SLOPE(C121:P121,{1,2,3,4,5,6,7,8,9,10,11,12,13,14})/AVERAGEIF(C121:P121,"&gt;0"),"n/a")</f>
        <v>n/a</v>
      </c>
      <c r="AD121" s="90" t="str">
        <f aca="false">IFERROR(SLOPE(J121:P121,{1,2,3,4,5,6,7})/AVERAGEIF(J121:P121,"&gt;0"),"n/a")</f>
        <v>n/a</v>
      </c>
      <c r="AE121" s="46" t="str">
        <f aca="false">IFERROR(J121/I121,"n/a")</f>
        <v>n/a</v>
      </c>
      <c r="AF121" s="46" t="str">
        <f aca="false">IFERROR(J121/H121,"n/a")</f>
        <v>n/a</v>
      </c>
      <c r="AG121" s="91" t="s">
        <v>167</v>
      </c>
      <c r="AH121" s="47" t="s">
        <v>90</v>
      </c>
      <c r="AI121" s="48" t="n">
        <v>0.025</v>
      </c>
      <c r="AJ121" s="49" t="s">
        <v>91</v>
      </c>
    </row>
    <row r="122" customFormat="false" ht="16.5" hidden="false" customHeight="true" outlineLevel="0" collapsed="false">
      <c r="A122" s="95" t="s">
        <v>320</v>
      </c>
      <c r="B122" s="96" t="s">
        <v>321</v>
      </c>
      <c r="C122" s="50" t="s">
        <v>89</v>
      </c>
      <c r="D122" s="50" t="s">
        <v>89</v>
      </c>
      <c r="E122" s="50" t="s">
        <v>89</v>
      </c>
      <c r="F122" s="50" t="s">
        <v>89</v>
      </c>
      <c r="G122" s="50" t="s">
        <v>89</v>
      </c>
      <c r="H122" s="50" t="s">
        <v>89</v>
      </c>
      <c r="I122" s="50" t="s">
        <v>89</v>
      </c>
      <c r="J122" s="50" t="s">
        <v>89</v>
      </c>
      <c r="K122" s="50" t="s">
        <v>89</v>
      </c>
      <c r="L122" s="50" t="s">
        <v>89</v>
      </c>
      <c r="M122" s="50" t="s">
        <v>89</v>
      </c>
      <c r="N122" s="50" t="s">
        <v>89</v>
      </c>
      <c r="O122" s="50" t="s">
        <v>89</v>
      </c>
      <c r="P122" s="50" t="s">
        <v>89</v>
      </c>
      <c r="Q122" s="50" t="s">
        <v>89</v>
      </c>
      <c r="R122" s="33" t="n">
        <f aca="false">IFERROR(AVERAGEIF(C122:I122,"&gt;0"),0)</f>
        <v>0</v>
      </c>
      <c r="S122" s="34" t="n">
        <f aca="false">IFERROR(AVERAGEIF(J122:P122,"&gt;0"),0)</f>
        <v>0</v>
      </c>
      <c r="T122" s="89" t="n">
        <f aca="false">S122-R122</f>
        <v>0</v>
      </c>
      <c r="U122" s="81" t="str">
        <f aca="false">IFERROR(S122/R122,"n/a")</f>
        <v>n/a</v>
      </c>
      <c r="V122" s="69" t="n">
        <f aca="false">IFERROR(S122/$C$3,0)</f>
        <v>0</v>
      </c>
      <c r="W122" s="69" t="n">
        <f aca="false">IFERROR(T122/$D$4,0)</f>
        <v>0</v>
      </c>
      <c r="X122" s="73" t="n">
        <f aca="false">IFERROR((V122+W122)/2,0)</f>
        <v>0</v>
      </c>
      <c r="Y122" s="82"/>
      <c r="Z122" s="40" t="str">
        <f aca="false">IFERROR(POWER(P122/C122,1/13)-1,"n/a")</f>
        <v>n/a</v>
      </c>
      <c r="AA122" s="40" t="str">
        <f aca="false">IFERROR(POWER(P122/J122,1/6)-1,"n/a")</f>
        <v>n/a</v>
      </c>
      <c r="AB122" s="92" t="str">
        <f aca="false">IFERROR(AA122-Z122,"n/a")</f>
        <v>n/a</v>
      </c>
      <c r="AC122" s="90" t="str">
        <f aca="false">IFERROR(SLOPE(C122:P122,{1,2,3,4,5,6,7,8,9,10,11,12,13,14})/AVERAGEIF(C122:P122,"&gt;0"),"n/a")</f>
        <v>n/a</v>
      </c>
      <c r="AD122" s="90" t="str">
        <f aca="false">IFERROR(SLOPE(J122:P122,{1,2,3,4,5,6,7})/AVERAGEIF(J122:P122,"&gt;0"),"n/a")</f>
        <v>n/a</v>
      </c>
      <c r="AE122" s="46" t="str">
        <f aca="false">IFERROR(J122/I122,"n/a")</f>
        <v>n/a</v>
      </c>
      <c r="AF122" s="46" t="str">
        <f aca="false">IFERROR(J122/H122,"n/a")</f>
        <v>n/a</v>
      </c>
      <c r="AG122" s="91" t="s">
        <v>167</v>
      </c>
      <c r="AH122" s="47" t="s">
        <v>90</v>
      </c>
      <c r="AI122" s="48" t="n">
        <v>0.025</v>
      </c>
      <c r="AJ122" s="49" t="s">
        <v>91</v>
      </c>
    </row>
    <row r="123" customFormat="false" ht="16.5" hidden="false" customHeight="true" outlineLevel="0" collapsed="false">
      <c r="A123" s="95" t="s">
        <v>322</v>
      </c>
      <c r="B123" s="96" t="s">
        <v>323</v>
      </c>
      <c r="C123" s="50" t="s">
        <v>89</v>
      </c>
      <c r="D123" s="50" t="s">
        <v>89</v>
      </c>
      <c r="E123" s="50" t="s">
        <v>89</v>
      </c>
      <c r="F123" s="50" t="s">
        <v>89</v>
      </c>
      <c r="G123" s="50" t="s">
        <v>89</v>
      </c>
      <c r="H123" s="50" t="s">
        <v>89</v>
      </c>
      <c r="I123" s="50" t="s">
        <v>89</v>
      </c>
      <c r="J123" s="50" t="s">
        <v>89</v>
      </c>
      <c r="K123" s="50" t="s">
        <v>89</v>
      </c>
      <c r="L123" s="50" t="s">
        <v>89</v>
      </c>
      <c r="M123" s="50" t="s">
        <v>89</v>
      </c>
      <c r="N123" s="50" t="s">
        <v>89</v>
      </c>
      <c r="O123" s="50" t="s">
        <v>89</v>
      </c>
      <c r="P123" s="50" t="s">
        <v>89</v>
      </c>
      <c r="Q123" s="50" t="s">
        <v>89</v>
      </c>
      <c r="R123" s="33" t="n">
        <f aca="false">IFERROR(AVERAGEIF(C123:I123,"&gt;0"),0)</f>
        <v>0</v>
      </c>
      <c r="S123" s="34" t="n">
        <f aca="false">IFERROR(AVERAGEIF(J123:P123,"&gt;0"),0)</f>
        <v>0</v>
      </c>
      <c r="T123" s="89" t="n">
        <f aca="false">S123-R123</f>
        <v>0</v>
      </c>
      <c r="U123" s="81" t="str">
        <f aca="false">IFERROR(S123/R123,"n/a")</f>
        <v>n/a</v>
      </c>
      <c r="V123" s="69" t="n">
        <f aca="false">IFERROR(S123/$C$3,0)</f>
        <v>0</v>
      </c>
      <c r="W123" s="69" t="n">
        <f aca="false">IFERROR(T123/$D$4,0)</f>
        <v>0</v>
      </c>
      <c r="X123" s="73" t="n">
        <f aca="false">IFERROR((V123+W123)/2,0)</f>
        <v>0</v>
      </c>
      <c r="Y123" s="82"/>
      <c r="Z123" s="40" t="str">
        <f aca="false">IFERROR(POWER(P123/C123,1/13)-1,"n/a")</f>
        <v>n/a</v>
      </c>
      <c r="AA123" s="40" t="str">
        <f aca="false">IFERROR(POWER(P123/J123,1/6)-1,"n/a")</f>
        <v>n/a</v>
      </c>
      <c r="AB123" s="92" t="str">
        <f aca="false">IFERROR(AA123-Z123,"n/a")</f>
        <v>n/a</v>
      </c>
      <c r="AC123" s="90" t="str">
        <f aca="false">IFERROR(SLOPE(C123:P123,{1,2,3,4,5,6,7,8,9,10,11,12,13,14})/AVERAGEIF(C123:P123,"&gt;0"),"n/a")</f>
        <v>n/a</v>
      </c>
      <c r="AD123" s="90" t="str">
        <f aca="false">IFERROR(SLOPE(J123:P123,{1,2,3,4,5,6,7})/AVERAGEIF(J123:P123,"&gt;0"),"n/a")</f>
        <v>n/a</v>
      </c>
      <c r="AE123" s="46" t="str">
        <f aca="false">IFERROR(J123/I123,"n/a")</f>
        <v>n/a</v>
      </c>
      <c r="AF123" s="46" t="str">
        <f aca="false">IFERROR(J123/H123,"n/a")</f>
        <v>n/a</v>
      </c>
      <c r="AG123" s="91" t="s">
        <v>167</v>
      </c>
      <c r="AH123" s="47" t="s">
        <v>90</v>
      </c>
      <c r="AI123" s="48" t="n">
        <v>0.025</v>
      </c>
      <c r="AJ123" s="49" t="s">
        <v>91</v>
      </c>
    </row>
    <row r="124" customFormat="false" ht="16.5" hidden="false" customHeight="true" outlineLevel="0" collapsed="false">
      <c r="A124" s="95" t="s">
        <v>324</v>
      </c>
      <c r="B124" s="96" t="s">
        <v>325</v>
      </c>
      <c r="C124" s="50" t="s">
        <v>89</v>
      </c>
      <c r="D124" s="50" t="s">
        <v>89</v>
      </c>
      <c r="E124" s="50" t="s">
        <v>89</v>
      </c>
      <c r="F124" s="50" t="s">
        <v>89</v>
      </c>
      <c r="G124" s="50" t="s">
        <v>89</v>
      </c>
      <c r="H124" s="50" t="s">
        <v>89</v>
      </c>
      <c r="I124" s="50" t="s">
        <v>89</v>
      </c>
      <c r="J124" s="50" t="s">
        <v>89</v>
      </c>
      <c r="K124" s="50" t="s">
        <v>89</v>
      </c>
      <c r="L124" s="50" t="s">
        <v>89</v>
      </c>
      <c r="M124" s="50" t="s">
        <v>89</v>
      </c>
      <c r="N124" s="50" t="s">
        <v>89</v>
      </c>
      <c r="O124" s="50" t="s">
        <v>89</v>
      </c>
      <c r="P124" s="50" t="s">
        <v>89</v>
      </c>
      <c r="Q124" s="50" t="s">
        <v>89</v>
      </c>
      <c r="R124" s="33" t="n">
        <f aca="false">IFERROR(AVERAGEIF(C124:I124,"&gt;0"),0)</f>
        <v>0</v>
      </c>
      <c r="S124" s="34" t="n">
        <f aca="false">IFERROR(AVERAGEIF(J124:P124,"&gt;0"),0)</f>
        <v>0</v>
      </c>
      <c r="T124" s="89" t="n">
        <f aca="false">S124-R124</f>
        <v>0</v>
      </c>
      <c r="U124" s="81" t="str">
        <f aca="false">IFERROR(S124/R124,"n/a")</f>
        <v>n/a</v>
      </c>
      <c r="V124" s="69" t="n">
        <f aca="false">IFERROR(S124/$C$3,0)</f>
        <v>0</v>
      </c>
      <c r="W124" s="69" t="n">
        <f aca="false">IFERROR(T124/$D$4,0)</f>
        <v>0</v>
      </c>
      <c r="X124" s="73" t="n">
        <f aca="false">IFERROR((V124+W124)/2,0)</f>
        <v>0</v>
      </c>
      <c r="Y124" s="82"/>
      <c r="Z124" s="40" t="str">
        <f aca="false">IFERROR(POWER(P124/C124,1/13)-1,"n/a")</f>
        <v>n/a</v>
      </c>
      <c r="AA124" s="40" t="str">
        <f aca="false">IFERROR(POWER(P124/J124,1/6)-1,"n/a")</f>
        <v>n/a</v>
      </c>
      <c r="AB124" s="92" t="str">
        <f aca="false">IFERROR(AA124-Z124,"n/a")</f>
        <v>n/a</v>
      </c>
      <c r="AC124" s="90" t="str">
        <f aca="false">IFERROR(SLOPE(C124:P124,{1,2,3,4,5,6,7,8,9,10,11,12,13,14})/AVERAGEIF(C124:P124,"&gt;0"),"n/a")</f>
        <v>n/a</v>
      </c>
      <c r="AD124" s="90" t="str">
        <f aca="false">IFERROR(SLOPE(J124:P124,{1,2,3,4,5,6,7})/AVERAGEIF(J124:P124,"&gt;0"),"n/a")</f>
        <v>n/a</v>
      </c>
      <c r="AE124" s="46" t="str">
        <f aca="false">IFERROR(J124/I124,"n/a")</f>
        <v>n/a</v>
      </c>
      <c r="AF124" s="46" t="str">
        <f aca="false">IFERROR(J124/H124,"n/a")</f>
        <v>n/a</v>
      </c>
      <c r="AG124" s="91" t="s">
        <v>167</v>
      </c>
      <c r="AH124" s="74" t="s">
        <v>116</v>
      </c>
      <c r="AI124" s="75" t="s">
        <v>117</v>
      </c>
      <c r="AJ124" s="75" t="s">
        <v>89</v>
      </c>
    </row>
    <row r="125" customFormat="false" ht="16.5" hidden="false" customHeight="true" outlineLevel="0" collapsed="false">
      <c r="A125" s="95" t="s">
        <v>326</v>
      </c>
      <c r="B125" s="96" t="s">
        <v>327</v>
      </c>
      <c r="C125" s="50" t="s">
        <v>89</v>
      </c>
      <c r="D125" s="50" t="s">
        <v>89</v>
      </c>
      <c r="E125" s="50" t="s">
        <v>89</v>
      </c>
      <c r="F125" s="50" t="s">
        <v>89</v>
      </c>
      <c r="G125" s="50" t="s">
        <v>89</v>
      </c>
      <c r="H125" s="50" t="s">
        <v>89</v>
      </c>
      <c r="I125" s="50" t="s">
        <v>89</v>
      </c>
      <c r="J125" s="50" t="s">
        <v>89</v>
      </c>
      <c r="K125" s="50" t="s">
        <v>89</v>
      </c>
      <c r="L125" s="50" t="s">
        <v>89</v>
      </c>
      <c r="M125" s="50" t="s">
        <v>89</v>
      </c>
      <c r="N125" s="50" t="s">
        <v>89</v>
      </c>
      <c r="O125" s="50" t="s">
        <v>89</v>
      </c>
      <c r="P125" s="50" t="s">
        <v>89</v>
      </c>
      <c r="Q125" s="50" t="s">
        <v>89</v>
      </c>
      <c r="R125" s="33" t="n">
        <f aca="false">IFERROR(AVERAGEIF(C125:I125,"&gt;0"),0)</f>
        <v>0</v>
      </c>
      <c r="S125" s="34" t="n">
        <f aca="false">IFERROR(AVERAGEIF(J125:P125,"&gt;0"),0)</f>
        <v>0</v>
      </c>
      <c r="T125" s="89" t="n">
        <f aca="false">S125-R125</f>
        <v>0</v>
      </c>
      <c r="U125" s="81" t="str">
        <f aca="false">IFERROR(S125/R125,"n/a")</f>
        <v>n/a</v>
      </c>
      <c r="V125" s="69" t="n">
        <f aca="false">IFERROR(S125/$C$3,0)</f>
        <v>0</v>
      </c>
      <c r="W125" s="69" t="n">
        <f aca="false">IFERROR(T125/$D$4,0)</f>
        <v>0</v>
      </c>
      <c r="X125" s="73" t="n">
        <f aca="false">IFERROR((V125+W125)/2,0)</f>
        <v>0</v>
      </c>
      <c r="Y125" s="82"/>
      <c r="Z125" s="40" t="str">
        <f aca="false">IFERROR(POWER(P125/C125,1/13)-1,"n/a")</f>
        <v>n/a</v>
      </c>
      <c r="AA125" s="40" t="str">
        <f aca="false">IFERROR(POWER(P125/J125,1/6)-1,"n/a")</f>
        <v>n/a</v>
      </c>
      <c r="AB125" s="92" t="str">
        <f aca="false">IFERROR(AA125-Z125,"n/a")</f>
        <v>n/a</v>
      </c>
      <c r="AC125" s="90" t="str">
        <f aca="false">IFERROR(SLOPE(C125:P125,{1,2,3,4,5,6,7,8,9,10,11,12,13,14})/AVERAGEIF(C125:P125,"&gt;0"),"n/a")</f>
        <v>n/a</v>
      </c>
      <c r="AD125" s="90" t="str">
        <f aca="false">IFERROR(SLOPE(J125:P125,{1,2,3,4,5,6,7})/AVERAGEIF(J125:P125,"&gt;0"),"n/a")</f>
        <v>n/a</v>
      </c>
      <c r="AE125" s="46" t="str">
        <f aca="false">IFERROR(J125/I125,"n/a")</f>
        <v>n/a</v>
      </c>
      <c r="AF125" s="46" t="str">
        <f aca="false">IFERROR(J125/H125,"n/a")</f>
        <v>n/a</v>
      </c>
      <c r="AG125" s="91" t="s">
        <v>167</v>
      </c>
      <c r="AH125" s="74" t="s">
        <v>162</v>
      </c>
      <c r="AI125" s="75" t="s">
        <v>117</v>
      </c>
      <c r="AJ125" s="75" t="s">
        <v>89</v>
      </c>
    </row>
    <row r="127" customFormat="false" ht="18" hidden="false" customHeight="true" outlineLevel="0" collapsed="false">
      <c r="A127" s="98" t="s">
        <v>328</v>
      </c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  <c r="AH127" s="98"/>
      <c r="AI127" s="98"/>
      <c r="AJ127" s="98"/>
    </row>
  </sheetData>
  <mergeCells count="27">
    <mergeCell ref="A1:AJ1"/>
    <mergeCell ref="A2:AJ2"/>
    <mergeCell ref="A3:B3"/>
    <mergeCell ref="D3:AJ3"/>
    <mergeCell ref="A4:C4"/>
    <mergeCell ref="E4:AJ4"/>
    <mergeCell ref="C5:I5"/>
    <mergeCell ref="J5:P5"/>
    <mergeCell ref="R5:Y5"/>
    <mergeCell ref="Z5:AB5"/>
    <mergeCell ref="AC5:AD5"/>
    <mergeCell ref="AE5:AG5"/>
    <mergeCell ref="AH5:AJ5"/>
    <mergeCell ref="A9:B9"/>
    <mergeCell ref="A11:AJ11"/>
    <mergeCell ref="A12:AJ12"/>
    <mergeCell ref="A18:AJ18"/>
    <mergeCell ref="A19:AJ19"/>
    <mergeCell ref="A27:AJ27"/>
    <mergeCell ref="A28:AJ28"/>
    <mergeCell ref="A31:AJ31"/>
    <mergeCell ref="A32:AJ32"/>
    <mergeCell ref="A66:AJ66"/>
    <mergeCell ref="A67:AJ67"/>
    <mergeCell ref="A106:AJ106"/>
    <mergeCell ref="A107:AJ107"/>
    <mergeCell ref="A127:AJ1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17" min="3" style="0" width="9"/>
    <col collapsed="false" customWidth="true" hidden="false" outlineLevel="0" max="19" min="18" style="0" width="13"/>
    <col collapsed="false" customWidth="true" hidden="false" outlineLevel="0" max="20" min="20" style="0" width="14"/>
    <col collapsed="false" customWidth="true" hidden="false" outlineLevel="0" max="21" min="21" style="0" width="9"/>
    <col collapsed="false" customWidth="true" hidden="false" outlineLevel="0" max="27" min="22" style="0" width="10"/>
    <col collapsed="false" customWidth="true" hidden="false" outlineLevel="0" max="28" min="28" style="0" width="11"/>
    <col collapsed="false" customWidth="true" hidden="false" outlineLevel="0" max="33" min="29" style="0" width="9"/>
    <col collapsed="false" customWidth="true" hidden="false" outlineLevel="0" max="34" min="34" style="0" width="24"/>
    <col collapsed="false" customWidth="true" hidden="false" outlineLevel="0" max="36" min="35" style="0" width="9"/>
  </cols>
  <sheetData>
    <row r="1" customFormat="false" ht="27.75" hidden="false" customHeight="true" outlineLevel="0" collapsed="false">
      <c r="A1" s="1" t="s">
        <v>329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customFormat="false" ht="18" hidden="false" customHeight="true" outlineLevel="0" collapsed="false">
      <c r="A3" s="3" t="s">
        <v>2</v>
      </c>
      <c r="B3" s="3"/>
      <c r="C3" s="4" t="n">
        <v>345251023.716667</v>
      </c>
      <c r="D3" s="5" t="s">
        <v>3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customFormat="false" ht="18" hidden="false" customHeight="true" outlineLevel="0" collapsed="false">
      <c r="A4" s="3" t="s">
        <v>4</v>
      </c>
      <c r="B4" s="3"/>
      <c r="C4" s="3"/>
      <c r="D4" s="6" t="n">
        <v>146498824.804762</v>
      </c>
      <c r="E4" s="5" t="s">
        <v>5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customFormat="false" ht="24" hidden="false" customHeight="true" outlineLevel="0" collapsed="false">
      <c r="C5" s="7" t="s">
        <v>6</v>
      </c>
      <c r="D5" s="7"/>
      <c r="E5" s="7"/>
      <c r="F5" s="7"/>
      <c r="G5" s="7"/>
      <c r="H5" s="7"/>
      <c r="I5" s="7"/>
      <c r="J5" s="8" t="s">
        <v>7</v>
      </c>
      <c r="K5" s="8"/>
      <c r="L5" s="8"/>
      <c r="M5" s="8"/>
      <c r="N5" s="8"/>
      <c r="O5" s="8"/>
      <c r="P5" s="8"/>
      <c r="Q5" s="9" t="s">
        <v>8</v>
      </c>
      <c r="R5" s="10" t="s">
        <v>9</v>
      </c>
      <c r="S5" s="10"/>
      <c r="T5" s="10"/>
      <c r="U5" s="10"/>
      <c r="V5" s="10"/>
      <c r="W5" s="10"/>
      <c r="X5" s="10"/>
      <c r="Y5" s="10"/>
      <c r="Z5" s="10" t="s">
        <v>10</v>
      </c>
      <c r="AA5" s="10"/>
      <c r="AB5" s="10"/>
      <c r="AC5" s="10" t="s">
        <v>11</v>
      </c>
      <c r="AD5" s="10"/>
      <c r="AE5" s="11" t="s">
        <v>12</v>
      </c>
      <c r="AF5" s="11"/>
      <c r="AG5" s="11"/>
      <c r="AH5" s="12" t="s">
        <v>330</v>
      </c>
      <c r="AI5" s="12"/>
      <c r="AJ5" s="12"/>
    </row>
    <row r="6" customFormat="false" ht="43.5" hidden="false" customHeight="true" outlineLevel="0" collapsed="false">
      <c r="A6" s="13"/>
      <c r="B6" s="13"/>
      <c r="C6" s="14"/>
      <c r="D6" s="14"/>
      <c r="E6" s="14"/>
      <c r="F6" s="14"/>
      <c r="G6" s="14"/>
      <c r="H6" s="14"/>
      <c r="I6" s="14"/>
      <c r="J6" s="15"/>
      <c r="K6" s="15"/>
      <c r="L6" s="15"/>
      <c r="M6" s="15"/>
      <c r="N6" s="15"/>
      <c r="O6" s="15"/>
      <c r="P6" s="15"/>
      <c r="Q6" s="16"/>
      <c r="R6" s="17" t="s">
        <v>14</v>
      </c>
      <c r="S6" s="17" t="s">
        <v>15</v>
      </c>
      <c r="T6" s="17" t="s">
        <v>16</v>
      </c>
      <c r="U6" s="17" t="s">
        <v>17</v>
      </c>
      <c r="V6" s="17" t="s">
        <v>18</v>
      </c>
      <c r="W6" s="17" t="s">
        <v>19</v>
      </c>
      <c r="X6" s="17" t="s">
        <v>20</v>
      </c>
      <c r="Y6" s="17" t="s">
        <v>21</v>
      </c>
      <c r="Z6" s="17" t="s">
        <v>22</v>
      </c>
      <c r="AA6" s="17" t="s">
        <v>23</v>
      </c>
      <c r="AB6" s="17" t="s">
        <v>24</v>
      </c>
      <c r="AC6" s="17" t="s">
        <v>25</v>
      </c>
      <c r="AD6" s="17" t="s">
        <v>26</v>
      </c>
      <c r="AE6" s="18" t="s">
        <v>27</v>
      </c>
      <c r="AF6" s="18" t="s">
        <v>28</v>
      </c>
      <c r="AG6" s="18" t="s">
        <v>29</v>
      </c>
      <c r="AH6" s="19" t="s">
        <v>30</v>
      </c>
      <c r="AI6" s="19" t="s">
        <v>31</v>
      </c>
      <c r="AJ6" s="19" t="s">
        <v>32</v>
      </c>
    </row>
    <row r="7" customFormat="false" ht="15" hidden="false" customHeight="true" outlineLevel="0" collapsed="false">
      <c r="A7" s="20"/>
      <c r="B7" s="20"/>
      <c r="C7" s="21" t="s">
        <v>33</v>
      </c>
      <c r="D7" s="21" t="s">
        <v>34</v>
      </c>
      <c r="E7" s="21" t="s">
        <v>35</v>
      </c>
      <c r="F7" s="21" t="s">
        <v>36</v>
      </c>
      <c r="G7" s="21" t="s">
        <v>37</v>
      </c>
      <c r="H7" s="21" t="s">
        <v>38</v>
      </c>
      <c r="I7" s="21" t="s">
        <v>39</v>
      </c>
      <c r="J7" s="22" t="s">
        <v>40</v>
      </c>
      <c r="K7" s="22" t="s">
        <v>41</v>
      </c>
      <c r="L7" s="22" t="s">
        <v>42</v>
      </c>
      <c r="M7" s="22" t="s">
        <v>43</v>
      </c>
      <c r="N7" s="22" t="s">
        <v>8</v>
      </c>
      <c r="O7" s="22" t="s">
        <v>44</v>
      </c>
      <c r="P7" s="22" t="s">
        <v>45</v>
      </c>
      <c r="Q7" s="23" t="s">
        <v>8</v>
      </c>
    </row>
    <row r="8" customFormat="false" ht="3.75" hidden="false" customHeight="true" outlineLevel="0" collapsed="false"/>
    <row r="9" customFormat="false" ht="12.75" hidden="false" customHeight="true" outlineLevel="0" collapsed="false">
      <c r="A9" s="24" t="s">
        <v>46</v>
      </c>
      <c r="B9" s="24"/>
      <c r="C9" s="25" t="s">
        <v>47</v>
      </c>
      <c r="D9" s="25" t="s">
        <v>48</v>
      </c>
      <c r="E9" s="25" t="s">
        <v>49</v>
      </c>
      <c r="F9" s="25" t="s">
        <v>50</v>
      </c>
      <c r="G9" s="25" t="s">
        <v>51</v>
      </c>
      <c r="H9" s="25" t="s">
        <v>52</v>
      </c>
      <c r="I9" s="25" t="s">
        <v>53</v>
      </c>
      <c r="J9" s="25" t="s">
        <v>54</v>
      </c>
      <c r="K9" s="25" t="s">
        <v>55</v>
      </c>
      <c r="L9" s="25" t="s">
        <v>56</v>
      </c>
      <c r="M9" s="25" t="s">
        <v>57</v>
      </c>
      <c r="N9" s="25" t="s">
        <v>58</v>
      </c>
      <c r="O9" s="25" t="s">
        <v>59</v>
      </c>
      <c r="P9" s="25" t="s">
        <v>60</v>
      </c>
      <c r="Q9" s="25" t="s">
        <v>61</v>
      </c>
      <c r="R9" s="25" t="s">
        <v>62</v>
      </c>
      <c r="S9" s="25" t="s">
        <v>63</v>
      </c>
      <c r="T9" s="25" t="s">
        <v>64</v>
      </c>
      <c r="U9" s="25" t="s">
        <v>65</v>
      </c>
      <c r="V9" s="25" t="s">
        <v>66</v>
      </c>
      <c r="W9" s="25" t="s">
        <v>67</v>
      </c>
      <c r="X9" s="25" t="s">
        <v>68</v>
      </c>
      <c r="Y9" s="25" t="s">
        <v>69</v>
      </c>
      <c r="Z9" s="25" t="s">
        <v>70</v>
      </c>
      <c r="AA9" s="25" t="s">
        <v>71</v>
      </c>
      <c r="AB9" s="25" t="s">
        <v>72</v>
      </c>
      <c r="AC9" s="25" t="s">
        <v>73</v>
      </c>
      <c r="AD9" s="25" t="s">
        <v>74</v>
      </c>
      <c r="AE9" s="25" t="s">
        <v>75</v>
      </c>
      <c r="AF9" s="25" t="s">
        <v>76</v>
      </c>
      <c r="AG9" s="25" t="s">
        <v>77</v>
      </c>
      <c r="AH9" s="25" t="s">
        <v>78</v>
      </c>
      <c r="AI9" s="25" t="s">
        <v>79</v>
      </c>
      <c r="AJ9" s="25" t="s">
        <v>80</v>
      </c>
    </row>
    <row r="11" customFormat="false" ht="21.75" hidden="false" customHeight="true" outlineLevel="0" collapsed="false">
      <c r="A11" s="26" t="s">
        <v>331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</row>
    <row r="12" customFormat="false" ht="15" hidden="false" customHeight="true" outlineLevel="0" collapsed="false">
      <c r="A12" s="27" t="s">
        <v>82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</row>
    <row r="13" customFormat="false" ht="16.5" hidden="false" customHeight="true" outlineLevel="0" collapsed="false">
      <c r="A13" s="28" t="s">
        <v>114</v>
      </c>
      <c r="B13" s="29" t="s">
        <v>115</v>
      </c>
      <c r="C13" s="30" t="n">
        <v>108712587</v>
      </c>
      <c r="D13" s="30" t="n">
        <v>102059191</v>
      </c>
      <c r="E13" s="30" t="n">
        <v>118547901</v>
      </c>
      <c r="F13" s="30" t="n">
        <v>106451456</v>
      </c>
      <c r="G13" s="30" t="n">
        <v>130567091</v>
      </c>
      <c r="H13" s="30" t="n">
        <v>137822236</v>
      </c>
      <c r="I13" s="30" t="n">
        <v>156278385</v>
      </c>
      <c r="J13" s="31" t="n">
        <v>200948795</v>
      </c>
      <c r="K13" s="31" t="n">
        <v>158236408</v>
      </c>
      <c r="L13" s="31" t="n">
        <v>184139041</v>
      </c>
      <c r="M13" s="31" t="n">
        <v>215394677</v>
      </c>
      <c r="N13" s="31" t="n">
        <v>272308216</v>
      </c>
      <c r="O13" s="31" t="n">
        <v>279314222</v>
      </c>
      <c r="P13" s="31" t="n">
        <v>222097534</v>
      </c>
      <c r="Q13" s="32" t="n">
        <v>272308216</v>
      </c>
      <c r="R13" s="33" t="n">
        <f aca="false">IFERROR(AVERAGEIF(C13:I13,"&gt;0"),0)</f>
        <v>122919835.285714</v>
      </c>
      <c r="S13" s="34" t="n">
        <f aca="false">IFERROR(AVERAGEIF(J13:P13,"&gt;0"),0)</f>
        <v>218919841.857143</v>
      </c>
      <c r="T13" s="35" t="n">
        <f aca="false">S13-R13</f>
        <v>96000006.5714286</v>
      </c>
      <c r="U13" s="36" t="n">
        <f aca="false">IFERROR(S13/R13,"n/a")</f>
        <v>1.78099686961251</v>
      </c>
      <c r="V13" s="37" t="n">
        <f aca="false">IFERROR(S13/$C$3,0)</f>
        <v>0.63408890001381</v>
      </c>
      <c r="W13" s="37" t="n">
        <f aca="false">IFERROR(T13/$D$4,0)</f>
        <v>0.655295403900797</v>
      </c>
      <c r="X13" s="38" t="n">
        <f aca="false">IFERROR((V13+W13)/2,0)</f>
        <v>0.644692151957304</v>
      </c>
      <c r="Y13" s="39" t="n">
        <v>0.651352464672194</v>
      </c>
      <c r="Z13" s="53" t="n">
        <f aca="false">IFERROR(POWER(P13/C13,1/13)-1,"n/a")</f>
        <v>0.0564925874252387</v>
      </c>
      <c r="AA13" s="40" t="n">
        <f aca="false">IFERROR(POWER(P13/J13,1/6)-1,"n/a")</f>
        <v>0.0168176006235499</v>
      </c>
      <c r="AB13" s="42" t="n">
        <f aca="false">IFERROR(AA13-Z13,"n/a")</f>
        <v>-0.0396749868016888</v>
      </c>
      <c r="AC13" s="43" t="n">
        <f aca="false">IFERROR(SLOPE(C13:P13,{1,2,3,4,5,6,7,8,9,10,11,12,13,14})/AVERAGEIF(C13:P13,"&gt;0"),"n/a")</f>
        <v>0.076432304605622</v>
      </c>
      <c r="AD13" s="43" t="n">
        <f aca="false">IFERROR(SLOPE(J13:P13,{1,2,3,4,5,6,7})/AVERAGEIF(J13:P13,"&gt;0"),"n/a")</f>
        <v>0.0642392694740879</v>
      </c>
      <c r="AE13" s="45" t="n">
        <f aca="false">IFERROR(J13/I13,"n/a")</f>
        <v>1.28583869739888</v>
      </c>
      <c r="AF13" s="46" t="n">
        <f aca="false">IFERROR(J13/H13,"n/a")</f>
        <v>1.45802884086135</v>
      </c>
      <c r="AG13" s="56" t="n">
        <v>1.17808717174952</v>
      </c>
      <c r="AH13" s="47" t="s">
        <v>332</v>
      </c>
      <c r="AI13" s="60" t="n">
        <v>0.14</v>
      </c>
      <c r="AJ13" s="61" t="s">
        <v>333</v>
      </c>
    </row>
    <row r="15" customFormat="false" ht="21.75" hidden="false" customHeight="true" outlineLevel="0" collapsed="false">
      <c r="A15" s="62" t="s">
        <v>334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</row>
    <row r="16" customFormat="false" ht="15" hidden="false" customHeight="true" outlineLevel="0" collapsed="false">
      <c r="A16" s="63" t="s">
        <v>99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</row>
    <row r="17" customFormat="false" ht="16.5" hidden="false" customHeight="true" outlineLevel="0" collapsed="false">
      <c r="A17" s="64" t="s">
        <v>100</v>
      </c>
      <c r="B17" s="65" t="s">
        <v>101</v>
      </c>
      <c r="C17" s="30" t="n">
        <v>28847565</v>
      </c>
      <c r="D17" s="30" t="n">
        <v>30611840</v>
      </c>
      <c r="E17" s="30" t="n">
        <v>29603121</v>
      </c>
      <c r="F17" s="30" t="n">
        <v>24516341</v>
      </c>
      <c r="G17" s="30" t="n">
        <v>27511381</v>
      </c>
      <c r="H17" s="30" t="n">
        <v>32690097</v>
      </c>
      <c r="I17" s="30" t="n">
        <v>29712064</v>
      </c>
      <c r="J17" s="31" t="n">
        <v>32670426</v>
      </c>
      <c r="K17" s="31" t="n">
        <v>34344085</v>
      </c>
      <c r="L17" s="31" t="n">
        <v>43599507</v>
      </c>
      <c r="M17" s="31" t="n">
        <v>81249097</v>
      </c>
      <c r="N17" s="31" t="n">
        <v>75662608</v>
      </c>
      <c r="O17" s="31" t="n">
        <v>78313585</v>
      </c>
      <c r="P17" s="31" t="n">
        <v>45408259</v>
      </c>
      <c r="Q17" s="32" t="n">
        <v>75662608</v>
      </c>
      <c r="R17" s="33" t="n">
        <f aca="false">IFERROR(AVERAGEIF(C17:I17,"&gt;0"),0)</f>
        <v>29070344.1428571</v>
      </c>
      <c r="S17" s="34" t="n">
        <f aca="false">IFERROR(AVERAGEIF(J17:P17,"&gt;0"),0)</f>
        <v>55892509.5714286</v>
      </c>
      <c r="T17" s="35" t="n">
        <f aca="false">S17-R17</f>
        <v>26822165.4285714</v>
      </c>
      <c r="U17" s="36" t="n">
        <f aca="false">IFERROR(S17/R17,"n/a")</f>
        <v>1.92266418645621</v>
      </c>
      <c r="V17" s="37" t="n">
        <f aca="false">IFERROR(S17/$C$3,0)</f>
        <v>0.161889482527059</v>
      </c>
      <c r="W17" s="37" t="n">
        <f aca="false">IFERROR(T17/$D$4,0)</f>
        <v>0.183087922133964</v>
      </c>
      <c r="X17" s="38" t="n">
        <f aca="false">IFERROR((V17+W17)/2,0)</f>
        <v>0.172488702330511</v>
      </c>
      <c r="Y17" s="66" t="n">
        <v>0.825541614020243</v>
      </c>
      <c r="Z17" s="40" t="n">
        <f aca="false">IFERROR(POWER(P17/C17,1/13)-1,"n/a")</f>
        <v>0.0355136363020738</v>
      </c>
      <c r="AA17" s="53" t="n">
        <f aca="false">IFERROR(POWER(P17/J17,1/6)-1,"n/a")</f>
        <v>0.0564039317772849</v>
      </c>
      <c r="AB17" s="57" t="n">
        <f aca="false">IFERROR(AA17-Z17,"n/a")</f>
        <v>0.020890295475211</v>
      </c>
      <c r="AC17" s="43" t="n">
        <f aca="false">IFERROR(SLOPE(C17:P17,{1,2,3,4,5,6,7,8,9,10,11,12,13,14})/AVERAGEIF(C17:P17,"&gt;0"),"n/a")</f>
        <v>0.0848481386401064</v>
      </c>
      <c r="AD17" s="43" t="n">
        <f aca="false">IFERROR(SLOPE(J17:P17,{1,2,3,4,5,6,7})/AVERAGEIF(J17:P17,"&gt;0"),"n/a")</f>
        <v>0.101096858705833</v>
      </c>
      <c r="AE17" s="45" t="n">
        <f aca="false">IFERROR(J17/I17,"n/a")</f>
        <v>1.09956770421604</v>
      </c>
      <c r="AF17" s="46" t="n">
        <f aca="false">IFERROR(J17/H17,"n/a")</f>
        <v>0.999398258133036</v>
      </c>
      <c r="AG17" s="56" t="n">
        <v>1.18909464809528</v>
      </c>
      <c r="AH17" s="47" t="s">
        <v>335</v>
      </c>
      <c r="AI17" s="48" t="n">
        <v>0.07</v>
      </c>
      <c r="AJ17" s="49" t="s">
        <v>336</v>
      </c>
    </row>
    <row r="18" customFormat="false" ht="16.5" hidden="false" customHeight="true" outlineLevel="0" collapsed="false">
      <c r="A18" s="64" t="s">
        <v>92</v>
      </c>
      <c r="B18" s="65" t="s">
        <v>93</v>
      </c>
      <c r="C18" s="30" t="n">
        <v>21973555</v>
      </c>
      <c r="D18" s="30" t="n">
        <v>18164216</v>
      </c>
      <c r="E18" s="30" t="n">
        <v>15856774</v>
      </c>
      <c r="F18" s="30" t="n">
        <v>18924448</v>
      </c>
      <c r="G18" s="30" t="n">
        <v>20251895</v>
      </c>
      <c r="H18" s="30" t="n">
        <v>21486444</v>
      </c>
      <c r="I18" s="30" t="n">
        <v>29163156</v>
      </c>
      <c r="J18" s="31" t="n">
        <v>27817672</v>
      </c>
      <c r="K18" s="31" t="n">
        <v>19287272</v>
      </c>
      <c r="L18" s="31" t="n">
        <v>20583950</v>
      </c>
      <c r="M18" s="31" t="n">
        <v>28147817</v>
      </c>
      <c r="N18" s="31" t="n">
        <v>19301144</v>
      </c>
      <c r="O18" s="31" t="n">
        <v>20442194</v>
      </c>
      <c r="P18" s="31" t="n">
        <v>36649398</v>
      </c>
      <c r="Q18" s="32" t="n">
        <v>19301144</v>
      </c>
      <c r="R18" s="33" t="n">
        <f aca="false">IFERROR(AVERAGEIF(C18:I18,"&gt;0"),0)</f>
        <v>20831498.2857143</v>
      </c>
      <c r="S18" s="34" t="n">
        <f aca="false">IFERROR(AVERAGEIF(J18:P18,"&gt;0"),0)</f>
        <v>24604206.7142857</v>
      </c>
      <c r="T18" s="35" t="n">
        <f aca="false">S18-R18</f>
        <v>3772708.42857143</v>
      </c>
      <c r="U18" s="68" t="n">
        <f aca="false">IFERROR(S18/R18,"n/a")</f>
        <v>1.18110595679806</v>
      </c>
      <c r="V18" s="52" t="n">
        <f aca="false">IFERROR(S18/$C$3,0)</f>
        <v>0.071264688658758</v>
      </c>
      <c r="W18" s="52" t="n">
        <f aca="false">IFERROR(T18/$D$4,0)</f>
        <v>0.0257524825444797</v>
      </c>
      <c r="X18" s="58" t="n">
        <f aca="false">IFERROR((V18+W18)/2,0)</f>
        <v>0.0485085856016189</v>
      </c>
      <c r="Y18" s="66" t="n">
        <v>0.874798746256232</v>
      </c>
      <c r="Z18" s="40" t="n">
        <f aca="false">IFERROR(POWER(P18/C18,1/13)-1,"n/a")</f>
        <v>0.0401350525032305</v>
      </c>
      <c r="AA18" s="40" t="n">
        <f aca="false">IFERROR(POWER(P18/J18,1/6)-1,"n/a")</f>
        <v>0.0470265084614201</v>
      </c>
      <c r="AB18" s="57" t="n">
        <f aca="false">IFERROR(AA18-Z18,"n/a")</f>
        <v>0.00689145595818963</v>
      </c>
      <c r="AC18" s="43" t="n">
        <f aca="false">IFERROR(SLOPE(C18:P18,{1,2,3,4,5,6,7,8,9,10,11,12,13,14})/AVERAGEIF(C18:P18,"&gt;0"),"n/a")</f>
        <v>0.0295187227318686</v>
      </c>
      <c r="AD18" s="43" t="n">
        <f aca="false">IFERROR(SLOPE(J18:P18,{1,2,3,4,5,6,7})/AVERAGEIF(J18:P18,"&gt;0"),"n/a")</f>
        <v>0.0399499279586028</v>
      </c>
      <c r="AE18" s="46" t="n">
        <f aca="false">IFERROR(J18/I18,"n/a")</f>
        <v>0.953863566755258</v>
      </c>
      <c r="AF18" s="46" t="n">
        <f aca="false">IFERROR(J18/H18,"n/a")</f>
        <v>1.2946615084376</v>
      </c>
      <c r="AG18" s="56" t="n">
        <v>1.034954942016</v>
      </c>
      <c r="AH18" s="47" t="s">
        <v>335</v>
      </c>
      <c r="AI18" s="48" t="n">
        <v>0.07</v>
      </c>
      <c r="AJ18" s="49" t="s">
        <v>336</v>
      </c>
    </row>
    <row r="19" customFormat="false" ht="16.5" hidden="false" customHeight="true" outlineLevel="0" collapsed="false">
      <c r="A19" s="64" t="s">
        <v>106</v>
      </c>
      <c r="B19" s="65" t="s">
        <v>107</v>
      </c>
      <c r="C19" s="30" t="n">
        <v>13639199</v>
      </c>
      <c r="D19" s="30" t="n">
        <v>5122131</v>
      </c>
      <c r="E19" s="30" t="n">
        <v>5508361</v>
      </c>
      <c r="F19" s="30" t="n">
        <v>6129833</v>
      </c>
      <c r="G19" s="30" t="n">
        <v>8973711</v>
      </c>
      <c r="H19" s="30" t="n">
        <v>10231452</v>
      </c>
      <c r="I19" s="30" t="n">
        <v>9244464</v>
      </c>
      <c r="J19" s="31" t="n">
        <v>11572409</v>
      </c>
      <c r="K19" s="31" t="n">
        <v>13177672</v>
      </c>
      <c r="L19" s="31" t="n">
        <v>16606830</v>
      </c>
      <c r="M19" s="31" t="n">
        <v>15700072</v>
      </c>
      <c r="N19" s="31" t="n">
        <v>12706296</v>
      </c>
      <c r="O19" s="31" t="n">
        <v>9535557</v>
      </c>
      <c r="P19" s="31" t="n">
        <v>12011048</v>
      </c>
      <c r="Q19" s="32" t="n">
        <v>12706296</v>
      </c>
      <c r="R19" s="33" t="n">
        <f aca="false">IFERROR(AVERAGEIF(C19:I19,"&gt;0"),0)</f>
        <v>8407021.57142857</v>
      </c>
      <c r="S19" s="34" t="n">
        <f aca="false">IFERROR(AVERAGEIF(J19:P19,"&gt;0"),0)</f>
        <v>13044269.1428571</v>
      </c>
      <c r="T19" s="35" t="n">
        <f aca="false">S19-R19</f>
        <v>4637247.57142857</v>
      </c>
      <c r="U19" s="36" t="n">
        <f aca="false">IFERROR(S19/R19,"n/a")</f>
        <v>1.55159220563777</v>
      </c>
      <c r="V19" s="52" t="n">
        <f aca="false">IFERROR(S19/$C$3,0)</f>
        <v>0.0377819854158117</v>
      </c>
      <c r="W19" s="52" t="n">
        <f aca="false">IFERROR(T19/$D$4,0)</f>
        <v>0.0316538209614214</v>
      </c>
      <c r="X19" s="58" t="n">
        <f aca="false">IFERROR((V19+W19)/2,0)</f>
        <v>0.0347179031886165</v>
      </c>
      <c r="Y19" s="66" t="n">
        <v>0.909913502059447</v>
      </c>
      <c r="Z19" s="41" t="n">
        <f aca="false">IFERROR(POWER(P19/C19,1/13)-1,"n/a")</f>
        <v>-0.00973088655912013</v>
      </c>
      <c r="AA19" s="40" t="n">
        <f aca="false">IFERROR(POWER(P19/J19,1/6)-1,"n/a")</f>
        <v>0.00621979014084961</v>
      </c>
      <c r="AB19" s="57" t="n">
        <f aca="false">IFERROR(AA19-Z19,"n/a")</f>
        <v>0.0159506766999697</v>
      </c>
      <c r="AC19" s="43" t="n">
        <f aca="false">IFERROR(SLOPE(C19:P19,{1,2,3,4,5,6,7,8,9,10,11,12,13,14})/AVERAGEIF(C19:P19,"&gt;0"),"n/a")</f>
        <v>0.0427212718425245</v>
      </c>
      <c r="AD19" s="44" t="n">
        <f aca="false">IFERROR(SLOPE(J19:P19,{1,2,3,4,5,6,7})/AVERAGEIF(J19:P19,"&gt;0"),"n/a")</f>
        <v>-0.0270202046253832</v>
      </c>
      <c r="AE19" s="45" t="n">
        <f aca="false">IFERROR(J19/I19,"n/a")</f>
        <v>1.25182044086061</v>
      </c>
      <c r="AF19" s="46" t="n">
        <f aca="false">IFERROR(J19/H19,"n/a")</f>
        <v>1.1310622382825</v>
      </c>
      <c r="AG19" s="46" t="n">
        <v>0.875298841324414</v>
      </c>
      <c r="AH19" s="47" t="s">
        <v>335</v>
      </c>
      <c r="AI19" s="48" t="n">
        <v>0.07</v>
      </c>
      <c r="AJ19" s="49" t="s">
        <v>336</v>
      </c>
    </row>
    <row r="20" customFormat="false" ht="16.5" hidden="false" customHeight="true" outlineLevel="0" collapsed="false">
      <c r="A20" s="64" t="s">
        <v>134</v>
      </c>
      <c r="B20" s="65" t="s">
        <v>135</v>
      </c>
      <c r="C20" s="30" t="n">
        <v>2116933</v>
      </c>
      <c r="D20" s="30" t="n">
        <v>2334066</v>
      </c>
      <c r="E20" s="30" t="n">
        <v>1851988</v>
      </c>
      <c r="F20" s="30" t="n">
        <v>1509401</v>
      </c>
      <c r="G20" s="30" t="n">
        <v>1384758</v>
      </c>
      <c r="H20" s="30" t="n">
        <v>1603834</v>
      </c>
      <c r="I20" s="30" t="n">
        <v>3558098</v>
      </c>
      <c r="J20" s="31" t="n">
        <v>6303738</v>
      </c>
      <c r="K20" s="31" t="n">
        <v>8160572</v>
      </c>
      <c r="L20" s="31" t="n">
        <v>5721668</v>
      </c>
      <c r="M20" s="31" t="n">
        <v>4752447</v>
      </c>
      <c r="N20" s="31" t="n">
        <v>5446600</v>
      </c>
      <c r="O20" s="31" t="n">
        <v>3443856</v>
      </c>
      <c r="P20" s="31" t="n">
        <v>3963785</v>
      </c>
      <c r="Q20" s="32" t="n">
        <v>5446600</v>
      </c>
      <c r="R20" s="33" t="n">
        <f aca="false">IFERROR(AVERAGEIF(C20:I20,"&gt;0"),0)</f>
        <v>2051296.85714286</v>
      </c>
      <c r="S20" s="34" t="n">
        <f aca="false">IFERROR(AVERAGEIF(J20:P20,"&gt;0"),0)</f>
        <v>5398952.28571429</v>
      </c>
      <c r="T20" s="35" t="n">
        <f aca="false">S20-R20</f>
        <v>3347655.42857143</v>
      </c>
      <c r="U20" s="51" t="n">
        <f aca="false">IFERROR(S20/R20,"n/a")</f>
        <v>2.6319702421005</v>
      </c>
      <c r="V20" s="69" t="n">
        <f aca="false">IFERROR(S20/$C$3,0)</f>
        <v>0.0156377589488192</v>
      </c>
      <c r="W20" s="52" t="n">
        <f aca="false">IFERROR(T20/$D$4,0)</f>
        <v>0.022851073604398</v>
      </c>
      <c r="X20" s="73" t="n">
        <f aca="false">IFERROR((V20+W20)/2,0)</f>
        <v>0.0192444162766086</v>
      </c>
      <c r="Y20" s="66" t="n">
        <v>0.929322173481915</v>
      </c>
      <c r="Z20" s="40" t="n">
        <f aca="false">IFERROR(POWER(P20/C20,1/13)-1,"n/a")</f>
        <v>0.0494314497174382</v>
      </c>
      <c r="AA20" s="41" t="n">
        <f aca="false">IFERROR(POWER(P20/J20,1/6)-1,"n/a")</f>
        <v>-0.0744099957023099</v>
      </c>
      <c r="AB20" s="42" t="n">
        <f aca="false">IFERROR(AA20-Z20,"n/a")</f>
        <v>-0.123841445419748</v>
      </c>
      <c r="AC20" s="43" t="n">
        <f aca="false">IFERROR(SLOPE(C20:P20,{1,2,3,4,5,6,7,8,9,10,11,12,13,14})/AVERAGEIF(C20:P20,"&gt;0"),"n/a")</f>
        <v>0.0798675259878321</v>
      </c>
      <c r="AD20" s="44" t="n">
        <f aca="false">IFERROR(SLOPE(J20:P20,{1,2,3,4,5,6,7})/AVERAGEIF(J20:P20,"&gt;0"),"n/a")</f>
        <v>-0.110658765115962</v>
      </c>
      <c r="AE20" s="71" t="n">
        <f aca="false">IFERROR(J20/I20,"n/a")</f>
        <v>1.77165946525363</v>
      </c>
      <c r="AF20" s="55" t="n">
        <f aca="false">IFERROR(J20/H20,"n/a")</f>
        <v>3.93041798590128</v>
      </c>
      <c r="AG20" s="72" t="n">
        <v>0.793625646838463</v>
      </c>
      <c r="AH20" s="47" t="s">
        <v>104</v>
      </c>
      <c r="AI20" s="48" t="n">
        <v>0.0325</v>
      </c>
      <c r="AJ20" s="49" t="s">
        <v>105</v>
      </c>
    </row>
    <row r="21" customFormat="false" ht="16.5" hidden="false" customHeight="true" outlineLevel="0" collapsed="false">
      <c r="A21" s="64" t="s">
        <v>120</v>
      </c>
      <c r="B21" s="65" t="s">
        <v>121</v>
      </c>
      <c r="C21" s="30" t="n">
        <v>4464</v>
      </c>
      <c r="D21" s="30" t="n">
        <v>360</v>
      </c>
      <c r="E21" s="30" t="n">
        <v>595793</v>
      </c>
      <c r="F21" s="30" t="n">
        <v>522862</v>
      </c>
      <c r="G21" s="30" t="n">
        <v>45042</v>
      </c>
      <c r="H21" s="30" t="n">
        <v>80849</v>
      </c>
      <c r="I21" s="30" t="n">
        <v>31944</v>
      </c>
      <c r="J21" s="31" t="n">
        <v>219055</v>
      </c>
      <c r="K21" s="31" t="n">
        <v>248017</v>
      </c>
      <c r="L21" s="31" t="n">
        <v>1231120</v>
      </c>
      <c r="M21" s="31" t="n">
        <v>4623880</v>
      </c>
      <c r="N21" s="31" t="n">
        <v>3312987</v>
      </c>
      <c r="O21" s="31" t="n">
        <v>4220532</v>
      </c>
      <c r="P21" s="31" t="n">
        <v>3051966</v>
      </c>
      <c r="Q21" s="32" t="n">
        <v>3312987</v>
      </c>
      <c r="R21" s="33" t="n">
        <f aca="false">IFERROR(AVERAGEIF(C21:I21,"&gt;0"),0)</f>
        <v>183044.857142857</v>
      </c>
      <c r="S21" s="34" t="n">
        <f aca="false">IFERROR(AVERAGEIF(J21:P21,"&gt;0"),0)</f>
        <v>2415365.28571429</v>
      </c>
      <c r="T21" s="35" t="n">
        <f aca="false">S21-R21</f>
        <v>2232320.42857143</v>
      </c>
      <c r="U21" s="51" t="n">
        <f aca="false">IFERROR(S21/R21,"n/a")</f>
        <v>13.1954829183167</v>
      </c>
      <c r="V21" s="69" t="n">
        <f aca="false">IFERROR(S21/$C$3,0)</f>
        <v>0.00699596849768207</v>
      </c>
      <c r="W21" s="69" t="n">
        <f aca="false">IFERROR(T21/$D$4,0)</f>
        <v>0.0152378043410685</v>
      </c>
      <c r="X21" s="73" t="n">
        <f aca="false">IFERROR((V21+W21)/2,0)</f>
        <v>0.0111168864193753</v>
      </c>
      <c r="Y21" s="66" t="n">
        <v>0.94051254382119</v>
      </c>
      <c r="Z21" s="59" t="n">
        <f aca="false">IFERROR(POWER(P21/C21,1/13)-1,"n/a")</f>
        <v>0.652212136867593</v>
      </c>
      <c r="AA21" s="59" t="n">
        <f aca="false">IFERROR(POWER(P21/J21,1/6)-1,"n/a")</f>
        <v>0.551211753639542</v>
      </c>
      <c r="AB21" s="42" t="n">
        <f aca="false">IFERROR(AA21-Z21,"n/a")</f>
        <v>-0.101000383228051</v>
      </c>
      <c r="AC21" s="43" t="n">
        <f aca="false">IFERROR(SLOPE(C21:P21,{1,2,3,4,5,6,7,8,9,10,11,12,13,14})/AVERAGEIF(C21:P21,"&gt;0"),"n/a")</f>
        <v>0.246677119634985</v>
      </c>
      <c r="AD21" s="43" t="n">
        <f aca="false">IFERROR(SLOPE(J21:P21,{1,2,3,4,5,6,7})/AVERAGEIF(J21:P21,"&gt;0"),"n/a")</f>
        <v>0.273925292696041</v>
      </c>
      <c r="AE21" s="54" t="n">
        <f aca="false">IFERROR(J21/I21,"n/a")</f>
        <v>6.8574693213123</v>
      </c>
      <c r="AF21" s="71" t="n">
        <f aca="false">IFERROR(J21/H21,"n/a")</f>
        <v>2.7094336355428</v>
      </c>
      <c r="AG21" s="56" t="n">
        <v>1.46085356979722</v>
      </c>
      <c r="AH21" s="47" t="s">
        <v>112</v>
      </c>
      <c r="AI21" s="48" t="n">
        <v>0.035</v>
      </c>
      <c r="AJ21" s="49" t="s">
        <v>113</v>
      </c>
    </row>
    <row r="22" customFormat="false" ht="16.5" hidden="false" customHeight="true" outlineLevel="0" collapsed="false">
      <c r="A22" s="64" t="s">
        <v>244</v>
      </c>
      <c r="B22" s="65" t="s">
        <v>245</v>
      </c>
      <c r="C22" s="30" t="n">
        <v>209262</v>
      </c>
      <c r="D22" s="30" t="n">
        <v>243780</v>
      </c>
      <c r="E22" s="30" t="n">
        <v>255292</v>
      </c>
      <c r="F22" s="30" t="n">
        <v>315075</v>
      </c>
      <c r="G22" s="30" t="n">
        <v>1318039</v>
      </c>
      <c r="H22" s="30" t="n">
        <v>1828665</v>
      </c>
      <c r="I22" s="30" t="n">
        <v>2727491</v>
      </c>
      <c r="J22" s="31" t="n">
        <v>2788670</v>
      </c>
      <c r="K22" s="31" t="n">
        <v>1490378</v>
      </c>
      <c r="L22" s="31" t="n">
        <v>1593803</v>
      </c>
      <c r="M22" s="31" t="n">
        <v>2516329</v>
      </c>
      <c r="N22" s="31" t="n">
        <v>3211978</v>
      </c>
      <c r="O22" s="31" t="n">
        <v>3802781</v>
      </c>
      <c r="P22" s="31" t="n">
        <v>4016630</v>
      </c>
      <c r="Q22" s="32" t="n">
        <v>3211978</v>
      </c>
      <c r="R22" s="33" t="n">
        <f aca="false">IFERROR(AVERAGEIF(C22:I22,"&gt;0"),0)</f>
        <v>985372</v>
      </c>
      <c r="S22" s="34" t="n">
        <f aca="false">IFERROR(AVERAGEIF(J22:P22,"&gt;0"),0)</f>
        <v>2774367</v>
      </c>
      <c r="T22" s="35" t="n">
        <f aca="false">S22-R22</f>
        <v>1788995</v>
      </c>
      <c r="U22" s="51" t="n">
        <f aca="false">IFERROR(S22/R22,"n/a")</f>
        <v>2.81555290793731</v>
      </c>
      <c r="V22" s="69" t="n">
        <f aca="false">IFERROR(S22/$C$3,0)</f>
        <v>0.00803579659267516</v>
      </c>
      <c r="W22" s="69" t="n">
        <f aca="false">IFERROR(T22/$D$4,0)</f>
        <v>0.0122116679255563</v>
      </c>
      <c r="X22" s="73" t="n">
        <f aca="false">IFERROR((V22+W22)/2,0)</f>
        <v>0.0101237322591157</v>
      </c>
      <c r="Y22" s="66" t="n">
        <v>0.950720682096906</v>
      </c>
      <c r="Z22" s="59" t="n">
        <f aca="false">IFERROR(POWER(P22/C22,1/13)-1,"n/a")</f>
        <v>0.255178514491564</v>
      </c>
      <c r="AA22" s="53" t="n">
        <f aca="false">IFERROR(POWER(P22/J22,1/6)-1,"n/a")</f>
        <v>0.0627002526660867</v>
      </c>
      <c r="AB22" s="42" t="n">
        <f aca="false">IFERROR(AA22-Z22,"n/a")</f>
        <v>-0.192478261825477</v>
      </c>
      <c r="AC22" s="43" t="n">
        <f aca="false">IFERROR(SLOPE(C22:P22,{1,2,3,4,5,6,7,8,9,10,11,12,13,14})/AVERAGEIF(C22:P22,"&gt;0"),"n/a")</f>
        <v>0.15325927654044</v>
      </c>
      <c r="AD22" s="43" t="n">
        <f aca="false">IFERROR(SLOPE(J22:P22,{1,2,3,4,5,6,7})/AVERAGEIF(J22:P22,"&gt;0"),"n/a")</f>
        <v>0.127787978302798</v>
      </c>
      <c r="AE22" s="45" t="n">
        <f aca="false">IFERROR(J22/I22,"n/a")</f>
        <v>1.02243050481193</v>
      </c>
      <c r="AF22" s="71" t="n">
        <f aca="false">IFERROR(J22/H22,"n/a")</f>
        <v>1.52497587037538</v>
      </c>
      <c r="AG22" s="56" t="n">
        <v>1.32539410491354</v>
      </c>
      <c r="AH22" s="47" t="s">
        <v>144</v>
      </c>
      <c r="AI22" s="48" t="n">
        <v>0.03</v>
      </c>
      <c r="AJ22" s="49" t="s">
        <v>145</v>
      </c>
    </row>
    <row r="23" customFormat="false" ht="16.5" hidden="false" customHeight="true" outlineLevel="0" collapsed="false">
      <c r="A23" s="64" t="s">
        <v>270</v>
      </c>
      <c r="B23" s="65" t="s">
        <v>271</v>
      </c>
      <c r="C23" s="30" t="n">
        <v>1910334</v>
      </c>
      <c r="D23" s="30" t="n">
        <v>1572997</v>
      </c>
      <c r="E23" s="30" t="n">
        <v>1735822</v>
      </c>
      <c r="F23" s="30" t="n">
        <v>1809423</v>
      </c>
      <c r="G23" s="30" t="n">
        <v>2107981</v>
      </c>
      <c r="H23" s="30" t="n">
        <v>1886423</v>
      </c>
      <c r="I23" s="30" t="n">
        <v>2062913</v>
      </c>
      <c r="J23" s="31" t="n">
        <v>2233235</v>
      </c>
      <c r="K23" s="31" t="n">
        <v>2211757</v>
      </c>
      <c r="L23" s="31" t="n">
        <v>3990694</v>
      </c>
      <c r="M23" s="31" t="n">
        <v>4423859</v>
      </c>
      <c r="N23" s="31" t="n">
        <v>2417066</v>
      </c>
      <c r="O23" s="31" t="n">
        <v>2714257</v>
      </c>
      <c r="P23" s="31" t="n">
        <v>3418697</v>
      </c>
      <c r="Q23" s="32" t="n">
        <v>2417066</v>
      </c>
      <c r="R23" s="33" t="n">
        <f aca="false">IFERROR(AVERAGEIF(C23:I23,"&gt;0"),0)</f>
        <v>1869413.28571429</v>
      </c>
      <c r="S23" s="34" t="n">
        <f aca="false">IFERROR(AVERAGEIF(J23:P23,"&gt;0"),0)</f>
        <v>3058509.28571429</v>
      </c>
      <c r="T23" s="35" t="n">
        <f aca="false">S23-R23</f>
        <v>1189096</v>
      </c>
      <c r="U23" s="36" t="n">
        <f aca="false">IFERROR(S23/R23,"n/a")</f>
        <v>1.63607978454355</v>
      </c>
      <c r="V23" s="69" t="n">
        <f aca="false">IFERROR(S23/$C$3,0)</f>
        <v>0.0088587986004765</v>
      </c>
      <c r="W23" s="69" t="n">
        <f aca="false">IFERROR(T23/$D$4,0)</f>
        <v>0.00811676135685526</v>
      </c>
      <c r="X23" s="73" t="n">
        <f aca="false">IFERROR((V23+W23)/2,0)</f>
        <v>0.00848777997866588</v>
      </c>
      <c r="Y23" s="66" t="n">
        <v>0.959301512701369</v>
      </c>
      <c r="Z23" s="40" t="n">
        <f aca="false">IFERROR(POWER(P23/C23,1/13)-1,"n/a")</f>
        <v>0.0457849995071873</v>
      </c>
      <c r="AA23" s="53" t="n">
        <f aca="false">IFERROR(POWER(P23/J23,1/6)-1,"n/a")</f>
        <v>0.0735469214554965</v>
      </c>
      <c r="AB23" s="57" t="n">
        <f aca="false">IFERROR(AA23-Z23,"n/a")</f>
        <v>0.0277619219483092</v>
      </c>
      <c r="AC23" s="43" t="n">
        <f aca="false">IFERROR(SLOPE(C23:P23,{1,2,3,4,5,6,7,8,9,10,11,12,13,14})/AVERAGEIF(C23:P23,"&gt;0"),"n/a")</f>
        <v>0.0599006093453275</v>
      </c>
      <c r="AD23" s="43" t="n">
        <f aca="false">IFERROR(SLOPE(J23:P23,{1,2,3,4,5,6,7})/AVERAGEIF(J23:P23,"&gt;0"),"n/a")</f>
        <v>0.0348881212672934</v>
      </c>
      <c r="AE23" s="45" t="n">
        <f aca="false">IFERROR(J23/I23,"n/a")</f>
        <v>1.08256383085472</v>
      </c>
      <c r="AF23" s="46" t="n">
        <f aca="false">IFERROR(J23/H23,"n/a")</f>
        <v>1.18384635895555</v>
      </c>
      <c r="AG23" s="46" t="n">
        <v>0.931828678754877</v>
      </c>
      <c r="AH23" s="47" t="s">
        <v>85</v>
      </c>
      <c r="AI23" s="48" t="n">
        <v>0.04</v>
      </c>
      <c r="AJ23" s="49" t="s">
        <v>86</v>
      </c>
    </row>
    <row r="24" customFormat="false" ht="16.5" hidden="false" customHeight="true" outlineLevel="0" collapsed="false">
      <c r="A24" s="64" t="s">
        <v>214</v>
      </c>
      <c r="B24" s="65" t="s">
        <v>215</v>
      </c>
      <c r="C24" s="30" t="n">
        <v>1065406</v>
      </c>
      <c r="D24" s="30" t="n">
        <v>597374</v>
      </c>
      <c r="E24" s="30" t="n">
        <v>712376</v>
      </c>
      <c r="F24" s="30" t="n">
        <v>692574</v>
      </c>
      <c r="G24" s="30" t="n">
        <v>650172</v>
      </c>
      <c r="H24" s="30" t="n">
        <v>787432</v>
      </c>
      <c r="I24" s="30" t="n">
        <v>1184679</v>
      </c>
      <c r="J24" s="31" t="n">
        <v>1769446</v>
      </c>
      <c r="K24" s="31" t="n">
        <v>1766117</v>
      </c>
      <c r="L24" s="31" t="n">
        <v>1690528</v>
      </c>
      <c r="M24" s="31" t="n">
        <v>2158841</v>
      </c>
      <c r="N24" s="31" t="n">
        <v>2777053</v>
      </c>
      <c r="O24" s="31" t="n">
        <v>2794719</v>
      </c>
      <c r="P24" s="31" t="n">
        <v>3132001</v>
      </c>
      <c r="Q24" s="32" t="n">
        <v>2777053</v>
      </c>
      <c r="R24" s="33" t="n">
        <f aca="false">IFERROR(AVERAGEIF(C24:I24,"&gt;0"),0)</f>
        <v>812859</v>
      </c>
      <c r="S24" s="34" t="n">
        <f aca="false">IFERROR(AVERAGEIF(J24:P24,"&gt;0"),0)</f>
        <v>2298386.42857143</v>
      </c>
      <c r="T24" s="35" t="n">
        <f aca="false">S24-R24</f>
        <v>1485527.42857143</v>
      </c>
      <c r="U24" s="51" t="n">
        <f aca="false">IFERROR(S24/R24,"n/a")</f>
        <v>2.82753396169745</v>
      </c>
      <c r="V24" s="69" t="n">
        <f aca="false">IFERROR(S24/$C$3,0)</f>
        <v>0.00665714587556914</v>
      </c>
      <c r="W24" s="69" t="n">
        <f aca="false">IFERROR(T24/$D$4,0)</f>
        <v>0.0101402003091232</v>
      </c>
      <c r="X24" s="73" t="n">
        <f aca="false">IFERROR((V24+W24)/2,0)</f>
        <v>0.00839867309234616</v>
      </c>
      <c r="Y24" s="66" t="n">
        <v>0.967770110804733</v>
      </c>
      <c r="Z24" s="53" t="n">
        <f aca="false">IFERROR(POWER(P24/C24,1/13)-1,"n/a")</f>
        <v>0.086484653793518</v>
      </c>
      <c r="AA24" s="53" t="n">
        <f aca="false">IFERROR(POWER(P24/J24,1/6)-1,"n/a")</f>
        <v>0.0998431723271287</v>
      </c>
      <c r="AB24" s="57" t="n">
        <f aca="false">IFERROR(AA24-Z24,"n/a")</f>
        <v>0.0133585185336107</v>
      </c>
      <c r="AC24" s="43" t="n">
        <f aca="false">IFERROR(SLOPE(C24:P24,{1,2,3,4,5,6,7,8,9,10,11,12,13,14})/AVERAGEIF(C24:P24,"&gt;0"),"n/a")</f>
        <v>0.125182326370881</v>
      </c>
      <c r="AD24" s="43" t="n">
        <f aca="false">IFERROR(SLOPE(J24:P24,{1,2,3,4,5,6,7})/AVERAGEIF(J24:P24,"&gt;0"),"n/a")</f>
        <v>0.112367558482799</v>
      </c>
      <c r="AE24" s="45" t="n">
        <f aca="false">IFERROR(J24/I24,"n/a")</f>
        <v>1.49360797313027</v>
      </c>
      <c r="AF24" s="71" t="n">
        <f aca="false">IFERROR(J24/H24,"n/a")</f>
        <v>2.24710959168538</v>
      </c>
      <c r="AG24" s="56" t="n">
        <v>1.26230194827158</v>
      </c>
      <c r="AH24" s="47" t="s">
        <v>337</v>
      </c>
      <c r="AI24" s="48" t="n">
        <v>0.0235</v>
      </c>
      <c r="AJ24" s="49" t="s">
        <v>338</v>
      </c>
    </row>
    <row r="25" customFormat="false" ht="16.5" hidden="false" customHeight="true" outlineLevel="0" collapsed="false">
      <c r="A25" s="64" t="s">
        <v>156</v>
      </c>
      <c r="B25" s="65" t="s">
        <v>157</v>
      </c>
      <c r="C25" s="30" t="n">
        <v>586325</v>
      </c>
      <c r="D25" s="30" t="n">
        <v>768091</v>
      </c>
      <c r="E25" s="30" t="n">
        <v>679831</v>
      </c>
      <c r="F25" s="30" t="n">
        <v>494148</v>
      </c>
      <c r="G25" s="30" t="n">
        <v>426128</v>
      </c>
      <c r="H25" s="30" t="n">
        <v>446847</v>
      </c>
      <c r="I25" s="30" t="n">
        <v>538554</v>
      </c>
      <c r="J25" s="31" t="n">
        <v>962376</v>
      </c>
      <c r="K25" s="31" t="n">
        <v>1102430</v>
      </c>
      <c r="L25" s="31" t="n">
        <v>1322760</v>
      </c>
      <c r="M25" s="31" t="n">
        <v>2571630</v>
      </c>
      <c r="N25" s="31" t="n">
        <v>1188714</v>
      </c>
      <c r="O25" s="31" t="n">
        <v>1884337</v>
      </c>
      <c r="P25" s="31" t="n">
        <v>2202390</v>
      </c>
      <c r="Q25" s="32" t="n">
        <v>1188714</v>
      </c>
      <c r="R25" s="33" t="n">
        <f aca="false">IFERROR(AVERAGEIF(C25:I25,"&gt;0"),0)</f>
        <v>562846.285714286</v>
      </c>
      <c r="S25" s="34" t="n">
        <f aca="false">IFERROR(AVERAGEIF(J25:P25,"&gt;0"),0)</f>
        <v>1604948.14285714</v>
      </c>
      <c r="T25" s="35" t="n">
        <f aca="false">S25-R25</f>
        <v>1042101.85714286</v>
      </c>
      <c r="U25" s="51" t="n">
        <f aca="false">IFERROR(S25/R25,"n/a")</f>
        <v>2.85148571393763</v>
      </c>
      <c r="V25" s="69" t="n">
        <f aca="false">IFERROR(S25/$C$3,0)</f>
        <v>0.00464864122799606</v>
      </c>
      <c r="W25" s="69" t="n">
        <f aca="false">IFERROR(T25/$D$4,0)</f>
        <v>0.00711338031913676</v>
      </c>
      <c r="X25" s="73" t="n">
        <f aca="false">IFERROR((V25+W25)/2,0)</f>
        <v>0.00588101077356641</v>
      </c>
      <c r="Y25" s="66" t="n">
        <v>0.973699949754092</v>
      </c>
      <c r="Z25" s="53" t="n">
        <f aca="false">IFERROR(POWER(P25/C25,1/13)-1,"n/a")</f>
        <v>0.107164075648758</v>
      </c>
      <c r="AA25" s="53" t="n">
        <f aca="false">IFERROR(POWER(P25/J25,1/6)-1,"n/a")</f>
        <v>0.147955113931909</v>
      </c>
      <c r="AB25" s="57" t="n">
        <f aca="false">IFERROR(AA25-Z25,"n/a")</f>
        <v>0.0407910382831511</v>
      </c>
      <c r="AC25" s="43" t="n">
        <f aca="false">IFERROR(SLOPE(C25:P25,{1,2,3,4,5,6,7,8,9,10,11,12,13,14})/AVERAGEIF(C25:P25,"&gt;0"),"n/a")</f>
        <v>0.120208476643144</v>
      </c>
      <c r="AD25" s="43" t="n">
        <f aca="false">IFERROR(SLOPE(J25:P25,{1,2,3,4,5,6,7})/AVERAGEIF(J25:P25,"&gt;0"),"n/a")</f>
        <v>0.114596715496905</v>
      </c>
      <c r="AE25" s="71" t="n">
        <f aca="false">IFERROR(J25/I25,"n/a")</f>
        <v>1.78696286723337</v>
      </c>
      <c r="AF25" s="71" t="n">
        <f aca="false">IFERROR(J25/H25,"n/a")</f>
        <v>2.15370361667416</v>
      </c>
      <c r="AG25" s="56" t="n">
        <v>1.09566177646268</v>
      </c>
      <c r="AH25" s="47" t="s">
        <v>104</v>
      </c>
      <c r="AI25" s="48" t="n">
        <v>0.0325</v>
      </c>
      <c r="AJ25" s="49" t="s">
        <v>105</v>
      </c>
    </row>
    <row r="27" customFormat="false" ht="21.75" hidden="false" customHeight="true" outlineLevel="0" collapsed="false">
      <c r="A27" s="84" t="s">
        <v>339</v>
      </c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</row>
    <row r="28" customFormat="false" ht="15" hidden="false" customHeight="true" outlineLevel="0" collapsed="false">
      <c r="A28" s="85" t="s">
        <v>123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</row>
    <row r="29" customFormat="false" ht="16.5" hidden="false" customHeight="true" outlineLevel="0" collapsed="false">
      <c r="A29" s="86" t="s">
        <v>312</v>
      </c>
      <c r="B29" s="87" t="s">
        <v>313</v>
      </c>
      <c r="C29" s="30" t="n">
        <v>252168</v>
      </c>
      <c r="D29" s="30" t="n">
        <v>1791045</v>
      </c>
      <c r="E29" s="30" t="n">
        <v>4290851</v>
      </c>
      <c r="F29" s="30" t="n">
        <v>5003747</v>
      </c>
      <c r="G29" s="30" t="n">
        <v>3429963</v>
      </c>
      <c r="H29" s="30" t="n">
        <v>3701686</v>
      </c>
      <c r="I29" s="30" t="n">
        <v>2993574</v>
      </c>
      <c r="J29" s="31" t="n">
        <v>2177303</v>
      </c>
      <c r="K29" s="31" t="n">
        <v>994204</v>
      </c>
      <c r="L29" s="31" t="n">
        <v>2503517</v>
      </c>
      <c r="M29" s="31" t="n">
        <v>2073799</v>
      </c>
      <c r="N29" s="31" t="n">
        <v>2336139</v>
      </c>
      <c r="O29" s="31" t="n">
        <v>2553484</v>
      </c>
      <c r="P29" s="31" t="n">
        <v>1651691</v>
      </c>
      <c r="Q29" s="32" t="n">
        <v>2336139</v>
      </c>
      <c r="R29" s="33" t="n">
        <f aca="false">IFERROR(AVERAGEIF(C29:I29,"&gt;0"),0)</f>
        <v>3066147.71428571</v>
      </c>
      <c r="S29" s="34" t="n">
        <f aca="false">IFERROR(AVERAGEIF(J29:P29,"&gt;0"),0)</f>
        <v>2041448.14285714</v>
      </c>
      <c r="T29" s="80" t="n">
        <f aca="false">S29-R29</f>
        <v>-1024699.57142857</v>
      </c>
      <c r="U29" s="81" t="n">
        <f aca="false">IFERROR(S29/R29,"n/a")</f>
        <v>0.66580228126182</v>
      </c>
      <c r="V29" s="69" t="n">
        <f aca="false">IFERROR(S29/$C$3,0)</f>
        <v>0.00591293871016144</v>
      </c>
      <c r="W29" s="69" t="n">
        <f aca="false">IFERROR(T29/$D$4,0)</f>
        <v>-0.00699459243303953</v>
      </c>
      <c r="X29" s="73" t="n">
        <f aca="false">IFERROR((V29+W29)/2,0)</f>
        <v>-0.000540826861439045</v>
      </c>
      <c r="Y29" s="82"/>
      <c r="Z29" s="53" t="n">
        <f aca="false">IFERROR(POWER(P29/C29,1/13)-1,"n/a")</f>
        <v>0.155546967496963</v>
      </c>
      <c r="AA29" s="41" t="n">
        <f aca="false">IFERROR(POWER(P29/J29,1/6)-1,"n/a")</f>
        <v>-0.0450037742036971</v>
      </c>
      <c r="AB29" s="42" t="n">
        <f aca="false">IFERROR(AA29-Z29,"n/a")</f>
        <v>-0.20055074170066</v>
      </c>
      <c r="AC29" s="44" t="n">
        <f aca="false">IFERROR(SLOPE(C29:P29,{1,2,3,4,5,6,7,8,9,10,11,12,13,14})/AVERAGEIF(C29:P29,"&gt;0"),"n/a")</f>
        <v>-0.0215945239568347</v>
      </c>
      <c r="AD29" s="43" t="n">
        <f aca="false">IFERROR(SLOPE(J29:P29,{1,2,3,4,5,6,7})/AVERAGEIF(J29:P29,"&gt;0"),"n/a")</f>
        <v>0.0240436113383658</v>
      </c>
      <c r="AE29" s="46" t="n">
        <f aca="false">IFERROR(J29/I29,"n/a")</f>
        <v>0.727325598097792</v>
      </c>
      <c r="AF29" s="46" t="n">
        <f aca="false">IFERROR(J29/H29,"n/a")</f>
        <v>0.588192245371433</v>
      </c>
      <c r="AG29" s="56" t="n">
        <v>1.06808395188934</v>
      </c>
      <c r="AH29" s="47" t="s">
        <v>148</v>
      </c>
      <c r="AI29" s="48" t="n">
        <v>0.06</v>
      </c>
      <c r="AJ29" s="49" t="s">
        <v>149</v>
      </c>
    </row>
    <row r="30" customFormat="false" ht="16.5" hidden="false" customHeight="true" outlineLevel="0" collapsed="false">
      <c r="A30" s="86" t="s">
        <v>252</v>
      </c>
      <c r="B30" s="87" t="s">
        <v>253</v>
      </c>
      <c r="C30" s="30" t="n">
        <v>5593635</v>
      </c>
      <c r="D30" s="30" t="n">
        <v>3339623</v>
      </c>
      <c r="E30" s="30" t="n">
        <v>2342771</v>
      </c>
      <c r="F30" s="30" t="n">
        <v>1508514</v>
      </c>
      <c r="G30" s="30" t="n">
        <v>2099313</v>
      </c>
      <c r="H30" s="30" t="n">
        <v>1642010</v>
      </c>
      <c r="I30" s="30" t="n">
        <v>1747687</v>
      </c>
      <c r="J30" s="31" t="n">
        <v>1241941</v>
      </c>
      <c r="K30" s="31" t="n">
        <v>1052186</v>
      </c>
      <c r="L30" s="31" t="n">
        <v>1162732</v>
      </c>
      <c r="M30" s="31" t="n">
        <v>1562164</v>
      </c>
      <c r="N30" s="31" t="n">
        <v>1644254</v>
      </c>
      <c r="O30" s="31" t="n">
        <v>2082027</v>
      </c>
      <c r="P30" s="31" t="n">
        <v>3335536</v>
      </c>
      <c r="Q30" s="32" t="n">
        <v>1644254</v>
      </c>
      <c r="R30" s="33" t="n">
        <f aca="false">IFERROR(AVERAGEIF(C30:I30,"&gt;0"),0)</f>
        <v>2610507.57142857</v>
      </c>
      <c r="S30" s="34" t="n">
        <f aca="false">IFERROR(AVERAGEIF(J30:P30,"&gt;0"),0)</f>
        <v>1725834.28571429</v>
      </c>
      <c r="T30" s="80" t="n">
        <f aca="false">S30-R30</f>
        <v>-884673.285714286</v>
      </c>
      <c r="U30" s="81" t="n">
        <f aca="false">IFERROR(S30/R30,"n/a")</f>
        <v>0.661110622548335</v>
      </c>
      <c r="V30" s="69" t="n">
        <f aca="false">IFERROR(S30/$C$3,0)</f>
        <v>0.00499878108147366</v>
      </c>
      <c r="W30" s="69" t="n">
        <f aca="false">IFERROR(T30/$D$4,0)</f>
        <v>-0.00603877394165642</v>
      </c>
      <c r="X30" s="73" t="n">
        <f aca="false">IFERROR((V30+W30)/2,0)</f>
        <v>-0.000519996430091383</v>
      </c>
      <c r="Y30" s="82"/>
      <c r="Z30" s="41" t="n">
        <f aca="false">IFERROR(POWER(P30/C30,1/13)-1,"n/a")</f>
        <v>-0.0389885158278246</v>
      </c>
      <c r="AA30" s="53" t="n">
        <f aca="false">IFERROR(POWER(P30/J30,1/6)-1,"n/a")</f>
        <v>0.178991782085258</v>
      </c>
      <c r="AB30" s="70" t="n">
        <f aca="false">IFERROR(AA30-Z30,"n/a")</f>
        <v>0.217980297913082</v>
      </c>
      <c r="AC30" s="44" t="n">
        <f aca="false">IFERROR(SLOPE(C30:P30,{1,2,3,4,5,6,7,8,9,10,11,12,13,14})/AVERAGEIF(C30:P30,"&gt;0"),"n/a")</f>
        <v>-0.0568241855977308</v>
      </c>
      <c r="AD30" s="43" t="n">
        <f aca="false">IFERROR(SLOPE(J30:P30,{1,2,3,4,5,6,7})/AVERAGEIF(J30:P30,"&gt;0"),"n/a")</f>
        <v>0.182561580982779</v>
      </c>
      <c r="AE30" s="46" t="n">
        <f aca="false">IFERROR(J30/I30,"n/a")</f>
        <v>0.710619807780226</v>
      </c>
      <c r="AF30" s="46" t="n">
        <f aca="false">IFERROR(J30/H30,"n/a")</f>
        <v>0.756354102593772</v>
      </c>
      <c r="AG30" s="56" t="n">
        <v>1.36394265630536</v>
      </c>
      <c r="AH30" s="47" t="s">
        <v>340</v>
      </c>
      <c r="AI30" s="48" t="n">
        <v>0.02</v>
      </c>
      <c r="AJ30" s="49" t="s">
        <v>341</v>
      </c>
    </row>
    <row r="31" customFormat="false" ht="16.5" hidden="false" customHeight="true" outlineLevel="0" collapsed="false">
      <c r="A31" s="86" t="s">
        <v>260</v>
      </c>
      <c r="B31" s="87" t="s">
        <v>261</v>
      </c>
      <c r="C31" s="30" t="n">
        <v>849542</v>
      </c>
      <c r="D31" s="30" t="n">
        <v>1184248</v>
      </c>
      <c r="E31" s="30" t="n">
        <v>1035088</v>
      </c>
      <c r="F31" s="30" t="n">
        <v>1452098</v>
      </c>
      <c r="G31" s="30" t="n">
        <v>1733115</v>
      </c>
      <c r="H31" s="30" t="n">
        <v>2367644</v>
      </c>
      <c r="I31" s="30" t="n">
        <v>1496903</v>
      </c>
      <c r="J31" s="31" t="n">
        <v>1380697</v>
      </c>
      <c r="K31" s="31" t="n">
        <v>1352458</v>
      </c>
      <c r="L31" s="31" t="n">
        <v>1721861</v>
      </c>
      <c r="M31" s="31" t="n">
        <v>1612510</v>
      </c>
      <c r="N31" s="31" t="n">
        <v>1155260</v>
      </c>
      <c r="O31" s="31" t="n">
        <v>1312623</v>
      </c>
      <c r="P31" s="31" t="n">
        <v>1275147</v>
      </c>
      <c r="Q31" s="32" t="n">
        <v>1155260</v>
      </c>
      <c r="R31" s="33" t="n">
        <f aca="false">IFERROR(AVERAGEIF(C31:I31,"&gt;0"),0)</f>
        <v>1445519.71428571</v>
      </c>
      <c r="S31" s="34" t="n">
        <f aca="false">IFERROR(AVERAGEIF(J31:P31,"&gt;0"),0)</f>
        <v>1401508</v>
      </c>
      <c r="T31" s="80" t="n">
        <f aca="false">S31-R31</f>
        <v>-44011.7142857143</v>
      </c>
      <c r="U31" s="81" t="n">
        <f aca="false">IFERROR(S31/R31,"n/a")</f>
        <v>0.96955301691789</v>
      </c>
      <c r="V31" s="69" t="n">
        <f aca="false">IFERROR(S31/$C$3,0)</f>
        <v>0.00405938839778839</v>
      </c>
      <c r="W31" s="69" t="n">
        <f aca="false">IFERROR(T31/$D$4,0)</f>
        <v>-0.000300423667864698</v>
      </c>
      <c r="X31" s="73" t="n">
        <f aca="false">IFERROR((V31+W31)/2,0)</f>
        <v>0.00187948236496185</v>
      </c>
      <c r="Y31" s="82"/>
      <c r="Z31" s="40" t="n">
        <f aca="false">IFERROR(POWER(P31/C31,1/13)-1,"n/a")</f>
        <v>0.0317330396670053</v>
      </c>
      <c r="AA31" s="41" t="n">
        <f aca="false">IFERROR(POWER(P31/J31,1/6)-1,"n/a")</f>
        <v>-0.013167042316881</v>
      </c>
      <c r="AB31" s="42" t="n">
        <f aca="false">IFERROR(AA31-Z31,"n/a")</f>
        <v>-0.0449000819838863</v>
      </c>
      <c r="AC31" s="43" t="n">
        <f aca="false">IFERROR(SLOPE(C31:P31,{1,2,3,4,5,6,7,8,9,10,11,12,13,14})/AVERAGEIF(C31:P31,"&gt;0"),"n/a")</f>
        <v>0.00915763307607152</v>
      </c>
      <c r="AD31" s="44" t="n">
        <f aca="false">IFERROR(SLOPE(J31:P31,{1,2,3,4,5,6,7})/AVERAGEIF(J31:P31,"&gt;0"),"n/a")</f>
        <v>-0.024537880421864</v>
      </c>
      <c r="AE31" s="46" t="n">
        <f aca="false">IFERROR(J31/I31,"n/a")</f>
        <v>0.922369051301253</v>
      </c>
      <c r="AF31" s="46" t="n">
        <f aca="false">IFERROR(J31/H31,"n/a")</f>
        <v>0.583152281339593</v>
      </c>
      <c r="AG31" s="46" t="n">
        <v>0.890238704785607</v>
      </c>
      <c r="AH31" s="47" t="s">
        <v>342</v>
      </c>
      <c r="AI31" s="48" t="n">
        <v>0.0385</v>
      </c>
      <c r="AJ31" s="49" t="s">
        <v>343</v>
      </c>
    </row>
    <row r="32" customFormat="false" ht="16.5" hidden="false" customHeight="true" outlineLevel="0" collapsed="false">
      <c r="A32" s="86" t="s">
        <v>282</v>
      </c>
      <c r="B32" s="87" t="s">
        <v>283</v>
      </c>
      <c r="C32" s="30" t="n">
        <v>595899</v>
      </c>
      <c r="D32" s="30" t="n">
        <v>414392</v>
      </c>
      <c r="E32" s="30" t="n">
        <v>779452</v>
      </c>
      <c r="F32" s="30" t="n">
        <v>1021407</v>
      </c>
      <c r="G32" s="30" t="n">
        <v>961835</v>
      </c>
      <c r="H32" s="30" t="n">
        <v>1315897</v>
      </c>
      <c r="I32" s="30" t="n">
        <v>1062092</v>
      </c>
      <c r="J32" s="31" t="n">
        <v>993441</v>
      </c>
      <c r="K32" s="31" t="n">
        <v>546426</v>
      </c>
      <c r="L32" s="31" t="n">
        <v>245550</v>
      </c>
      <c r="M32" s="31" t="n">
        <v>213890</v>
      </c>
      <c r="N32" s="31" t="n">
        <v>318979</v>
      </c>
      <c r="O32" s="31" t="n">
        <v>712985</v>
      </c>
      <c r="P32" s="31" t="n">
        <v>1814818</v>
      </c>
      <c r="Q32" s="32" t="n">
        <v>318979</v>
      </c>
      <c r="R32" s="33" t="n">
        <f aca="false">IFERROR(AVERAGEIF(C32:I32,"&gt;0"),0)</f>
        <v>878710.571428572</v>
      </c>
      <c r="S32" s="34" t="n">
        <f aca="false">IFERROR(AVERAGEIF(J32:P32,"&gt;0"),0)</f>
        <v>692298.428571429</v>
      </c>
      <c r="T32" s="80" t="n">
        <f aca="false">S32-R32</f>
        <v>-186412.142857143</v>
      </c>
      <c r="U32" s="81" t="n">
        <f aca="false">IFERROR(S32/R32,"n/a")</f>
        <v>0.787857175140067</v>
      </c>
      <c r="V32" s="69" t="n">
        <f aca="false">IFERROR(S32/$C$3,0)</f>
        <v>0.00200520311603643</v>
      </c>
      <c r="W32" s="69" t="n">
        <f aca="false">IFERROR(T32/$D$4,0)</f>
        <v>-0.00127244804253941</v>
      </c>
      <c r="X32" s="73" t="n">
        <f aca="false">IFERROR((V32+W32)/2,0)</f>
        <v>0.000366377536748513</v>
      </c>
      <c r="Y32" s="82"/>
      <c r="Z32" s="53" t="n">
        <f aca="false">IFERROR(POWER(P32/C32,1/13)-1,"n/a")</f>
        <v>0.0894433387857856</v>
      </c>
      <c r="AA32" s="53" t="n">
        <f aca="false">IFERROR(POWER(P32/J32,1/6)-1,"n/a")</f>
        <v>0.1056436255853</v>
      </c>
      <c r="AB32" s="57" t="n">
        <f aca="false">IFERROR(AA32-Z32,"n/a")</f>
        <v>0.0162002867995144</v>
      </c>
      <c r="AC32" s="43" t="n">
        <f aca="false">IFERROR(SLOPE(C32:P32,{1,2,3,4,5,6,7,8,9,10,11,12,13,14})/AVERAGEIF(C32:P32,"&gt;0"),"n/a")</f>
        <v>0.00944337452785208</v>
      </c>
      <c r="AD32" s="43" t="n">
        <f aca="false">IFERROR(SLOPE(J32:P32,{1,2,3,4,5,6,7})/AVERAGEIF(J32:P32,"&gt;0"),"n/a")</f>
        <v>0.148092513364901</v>
      </c>
      <c r="AE32" s="46" t="n">
        <f aca="false">IFERROR(J32/I32,"n/a")</f>
        <v>0.935362473307397</v>
      </c>
      <c r="AF32" s="46" t="n">
        <f aca="false">IFERROR(J32/H32,"n/a")</f>
        <v>0.754953465202824</v>
      </c>
      <c r="AG32" s="56" t="n">
        <v>1.3706911559679</v>
      </c>
      <c r="AH32" s="47" t="s">
        <v>144</v>
      </c>
      <c r="AI32" s="48" t="n">
        <v>0.03</v>
      </c>
      <c r="AJ32" s="49" t="s">
        <v>145</v>
      </c>
    </row>
    <row r="33" customFormat="false" ht="16.5" hidden="false" customHeight="true" outlineLevel="0" collapsed="false">
      <c r="A33" s="86" t="s">
        <v>314</v>
      </c>
      <c r="B33" s="87" t="s">
        <v>315</v>
      </c>
      <c r="C33" s="30" t="n">
        <v>726948</v>
      </c>
      <c r="D33" s="30" t="n">
        <v>524026</v>
      </c>
      <c r="E33" s="30" t="n">
        <v>500639</v>
      </c>
      <c r="F33" s="30" t="n">
        <v>549187</v>
      </c>
      <c r="G33" s="30" t="n">
        <v>515685</v>
      </c>
      <c r="H33" s="30" t="n">
        <v>459590</v>
      </c>
      <c r="I33" s="30" t="n">
        <v>263888</v>
      </c>
      <c r="J33" s="31" t="n">
        <v>303625</v>
      </c>
      <c r="K33" s="31" t="n">
        <v>406719</v>
      </c>
      <c r="L33" s="31" t="n">
        <v>454755</v>
      </c>
      <c r="M33" s="31" t="n">
        <v>589747</v>
      </c>
      <c r="N33" s="31" t="n">
        <v>598855</v>
      </c>
      <c r="O33" s="31" t="n">
        <v>240681</v>
      </c>
      <c r="P33" s="31" t="n">
        <v>594367</v>
      </c>
      <c r="Q33" s="32" t="n">
        <v>598855</v>
      </c>
      <c r="R33" s="33" t="n">
        <f aca="false">IFERROR(AVERAGEIF(C33:I33,"&gt;0"),0)</f>
        <v>505709</v>
      </c>
      <c r="S33" s="34" t="n">
        <f aca="false">IFERROR(AVERAGEIF(J33:P33,"&gt;0"),0)</f>
        <v>455535.571428571</v>
      </c>
      <c r="T33" s="80" t="n">
        <f aca="false">S33-R33</f>
        <v>-50173.4285714286</v>
      </c>
      <c r="U33" s="81" t="n">
        <f aca="false">IFERROR(S33/R33,"n/a")</f>
        <v>0.900785968666904</v>
      </c>
      <c r="V33" s="69" t="n">
        <f aca="false">IFERROR(S33/$C$3,0)</f>
        <v>0.00131943293469395</v>
      </c>
      <c r="W33" s="69" t="n">
        <f aca="false">IFERROR(T33/$D$4,0)</f>
        <v>-0.000342483488439545</v>
      </c>
      <c r="X33" s="73" t="n">
        <f aca="false">IFERROR((V33+W33)/2,0)</f>
        <v>0.000488474723127202</v>
      </c>
      <c r="Y33" s="82"/>
      <c r="Z33" s="41" t="n">
        <f aca="false">IFERROR(POWER(P33/C33,1/13)-1,"n/a")</f>
        <v>-0.0153697361804971</v>
      </c>
      <c r="AA33" s="53" t="n">
        <f aca="false">IFERROR(POWER(P33/J33,1/6)-1,"n/a")</f>
        <v>0.118457604933813</v>
      </c>
      <c r="AB33" s="70" t="n">
        <f aca="false">IFERROR(AA33-Z33,"n/a")</f>
        <v>0.13382734111431</v>
      </c>
      <c r="AC33" s="44" t="n">
        <f aca="false">IFERROR(SLOPE(C33:P33,{1,2,3,4,5,6,7,8,9,10,11,12,13,14})/AVERAGEIF(C33:P33,"&gt;0"),"n/a")</f>
        <v>-0.018730341991614</v>
      </c>
      <c r="AD33" s="43" t="n">
        <f aca="false">IFERROR(SLOPE(J33:P33,{1,2,3,4,5,6,7})/AVERAGEIF(J33:P33,"&gt;0"),"n/a")</f>
        <v>0.0536456459884425</v>
      </c>
      <c r="AE33" s="45" t="n">
        <f aca="false">IFERROR(J33/I33,"n/a")</f>
        <v>1.15058282301582</v>
      </c>
      <c r="AF33" s="46" t="n">
        <f aca="false">IFERROR(J33/H33,"n/a")</f>
        <v>0.660643181966535</v>
      </c>
      <c r="AG33" s="56" t="n">
        <v>1.04924334485614</v>
      </c>
      <c r="AH33" s="47" t="s">
        <v>148</v>
      </c>
      <c r="AI33" s="48" t="n">
        <v>0.06</v>
      </c>
      <c r="AJ33" s="49" t="s">
        <v>149</v>
      </c>
    </row>
    <row r="34" customFormat="false" ht="16.5" hidden="false" customHeight="true" outlineLevel="0" collapsed="false">
      <c r="A34" s="86" t="s">
        <v>268</v>
      </c>
      <c r="B34" s="87" t="s">
        <v>269</v>
      </c>
      <c r="C34" s="30" t="n">
        <v>223036</v>
      </c>
      <c r="D34" s="30" t="n">
        <v>201363</v>
      </c>
      <c r="E34" s="30" t="n">
        <v>249631</v>
      </c>
      <c r="F34" s="30" t="n">
        <v>256906</v>
      </c>
      <c r="G34" s="30" t="n">
        <v>329896</v>
      </c>
      <c r="H34" s="30" t="n">
        <v>320196</v>
      </c>
      <c r="I34" s="30" t="n">
        <v>182696</v>
      </c>
      <c r="J34" s="31" t="n">
        <v>132008</v>
      </c>
      <c r="K34" s="31" t="n">
        <v>192007</v>
      </c>
      <c r="L34" s="31" t="n">
        <v>213551</v>
      </c>
      <c r="M34" s="31" t="n">
        <v>431992</v>
      </c>
      <c r="N34" s="31" t="n">
        <v>162122</v>
      </c>
      <c r="O34" s="31" t="n">
        <v>181362</v>
      </c>
      <c r="P34" s="31" t="n">
        <v>423871</v>
      </c>
      <c r="Q34" s="32" t="n">
        <v>162122</v>
      </c>
      <c r="R34" s="33" t="n">
        <f aca="false">IFERROR(AVERAGEIF(C34:I34,"&gt;0"),0)</f>
        <v>251960.571428571</v>
      </c>
      <c r="S34" s="34" t="n">
        <f aca="false">IFERROR(AVERAGEIF(J34:P34,"&gt;0"),0)</f>
        <v>248130.428571429</v>
      </c>
      <c r="T34" s="80" t="n">
        <f aca="false">S34-R34</f>
        <v>-3830.14285714284</v>
      </c>
      <c r="U34" s="81" t="n">
        <f aca="false">IFERROR(S34/R34,"n/a")</f>
        <v>0.984798641964389</v>
      </c>
      <c r="V34" s="69" t="n">
        <f aca="false">IFERROR(S34/$C$3,0)</f>
        <v>0.000718695706967864</v>
      </c>
      <c r="W34" s="69" t="n">
        <f aca="false">IFERROR(T34/$D$4,0)</f>
        <v>-2.61445295704402E-005</v>
      </c>
      <c r="X34" s="73" t="n">
        <f aca="false">IFERROR((V34+W34)/2,0)</f>
        <v>0.000346275588698712</v>
      </c>
      <c r="Y34" s="82"/>
      <c r="Z34" s="53" t="n">
        <f aca="false">IFERROR(POWER(P34/C34,1/13)-1,"n/a")</f>
        <v>0.0506321154141387</v>
      </c>
      <c r="AA34" s="59" t="n">
        <f aca="false">IFERROR(POWER(P34/J34,1/6)-1,"n/a")</f>
        <v>0.214615751431384</v>
      </c>
      <c r="AB34" s="70" t="n">
        <f aca="false">IFERROR(AA34-Z34,"n/a")</f>
        <v>0.163983636017246</v>
      </c>
      <c r="AC34" s="43" t="n">
        <f aca="false">IFERROR(SLOPE(C34:P34,{1,2,3,4,5,6,7,8,9,10,11,12,13,14})/AVERAGEIF(C34:P34,"&gt;0"),"n/a")</f>
        <v>0.0159257608521842</v>
      </c>
      <c r="AD34" s="43" t="n">
        <f aca="false">IFERROR(SLOPE(J34:P34,{1,2,3,4,5,6,7})/AVERAGEIF(J34:P34,"&gt;0"),"n/a")</f>
        <v>0.115559904266938</v>
      </c>
      <c r="AE34" s="46" t="n">
        <f aca="false">IFERROR(J34/I34,"n/a")</f>
        <v>0.722555502036169</v>
      </c>
      <c r="AF34" s="46" t="n">
        <f aca="false">IFERROR(J34/H34,"n/a")</f>
        <v>0.412272483104099</v>
      </c>
      <c r="AG34" s="56" t="n">
        <v>1.03084898322484</v>
      </c>
      <c r="AH34" s="47" t="s">
        <v>340</v>
      </c>
      <c r="AI34" s="48" t="n">
        <v>0.02</v>
      </c>
      <c r="AJ34" s="49" t="s">
        <v>341</v>
      </c>
    </row>
    <row r="35" customFormat="false" ht="16.5" hidden="false" customHeight="true" outlineLevel="0" collapsed="false">
      <c r="A35" s="86" t="s">
        <v>258</v>
      </c>
      <c r="B35" s="87" t="s">
        <v>259</v>
      </c>
      <c r="C35" s="30" t="n">
        <v>98653</v>
      </c>
      <c r="D35" s="30" t="n">
        <v>160190</v>
      </c>
      <c r="E35" s="30" t="n">
        <v>185546</v>
      </c>
      <c r="F35" s="30" t="n">
        <v>183904</v>
      </c>
      <c r="G35" s="30" t="n">
        <v>310737</v>
      </c>
      <c r="H35" s="30" t="n">
        <v>156466</v>
      </c>
      <c r="I35" s="30" t="n">
        <v>225419</v>
      </c>
      <c r="J35" s="31" t="n">
        <v>217722</v>
      </c>
      <c r="K35" s="31" t="n">
        <v>224476</v>
      </c>
      <c r="L35" s="31" t="n">
        <v>202424</v>
      </c>
      <c r="M35" s="31" t="n">
        <v>88640</v>
      </c>
      <c r="N35" s="31" t="n">
        <v>67965</v>
      </c>
      <c r="O35" s="31" t="n">
        <v>76863</v>
      </c>
      <c r="P35" s="31" t="n">
        <v>183606</v>
      </c>
      <c r="Q35" s="32" t="n">
        <v>67965</v>
      </c>
      <c r="R35" s="33" t="n">
        <f aca="false">IFERROR(AVERAGEIF(C35:I35,"&gt;0"),0)</f>
        <v>188702.142857143</v>
      </c>
      <c r="S35" s="34" t="n">
        <f aca="false">IFERROR(AVERAGEIF(J35:P35,"&gt;0"),0)</f>
        <v>151670.857142857</v>
      </c>
      <c r="T35" s="80" t="n">
        <f aca="false">S35-R35</f>
        <v>-37031.2857142857</v>
      </c>
      <c r="U35" s="81" t="n">
        <f aca="false">IFERROR(S35/R35,"n/a")</f>
        <v>0.803758001082583</v>
      </c>
      <c r="V35" s="69" t="n">
        <f aca="false">IFERROR(S35/$C$3,0)</f>
        <v>0.000439306031623319</v>
      </c>
      <c r="W35" s="69" t="n">
        <f aca="false">IFERROR(T35/$D$4,0)</f>
        <v>-0.000252775309041811</v>
      </c>
      <c r="X35" s="73" t="n">
        <f aca="false">IFERROR((V35+W35)/2,0)</f>
        <v>9.32653612907542E-005</v>
      </c>
      <c r="Y35" s="82"/>
      <c r="Z35" s="40" t="n">
        <f aca="false">IFERROR(POWER(P35/C35,1/13)-1,"n/a")</f>
        <v>0.0489433742860022</v>
      </c>
      <c r="AA35" s="41" t="n">
        <f aca="false">IFERROR(POWER(P35/J35,1/6)-1,"n/a")</f>
        <v>-0.0280048624361825</v>
      </c>
      <c r="AB35" s="42" t="n">
        <f aca="false">IFERROR(AA35-Z35,"n/a")</f>
        <v>-0.0769482367221847</v>
      </c>
      <c r="AC35" s="44" t="n">
        <f aca="false">IFERROR(SLOPE(C35:P35,{1,2,3,4,5,6,7,8,9,10,11,12,13,14})/AVERAGEIF(C35:P35,"&gt;0"),"n/a")</f>
        <v>-0.0243109764875592</v>
      </c>
      <c r="AD35" s="44" t="n">
        <f aca="false">IFERROR(SLOPE(J35:P35,{1,2,3,4,5,6,7})/AVERAGEIF(J35:P35,"&gt;0"),"n/a")</f>
        <v>-0.125279034676593</v>
      </c>
      <c r="AE35" s="46" t="n">
        <f aca="false">IFERROR(J35/I35,"n/a")</f>
        <v>0.965854697252672</v>
      </c>
      <c r="AF35" s="46" t="n">
        <f aca="false">IFERROR(J35/H35,"n/a")</f>
        <v>1.39149719427863</v>
      </c>
      <c r="AG35" s="72" t="n">
        <v>0.721813023690397</v>
      </c>
      <c r="AH35" s="47" t="s">
        <v>136</v>
      </c>
      <c r="AI35" s="48" t="n">
        <v>0.05</v>
      </c>
      <c r="AJ35" s="49" t="s">
        <v>137</v>
      </c>
    </row>
    <row r="36" customFormat="false" ht="16.5" hidden="false" customHeight="true" outlineLevel="0" collapsed="false">
      <c r="A36" s="86" t="s">
        <v>158</v>
      </c>
      <c r="B36" s="87" t="s">
        <v>159</v>
      </c>
      <c r="C36" s="30" t="n">
        <v>123615</v>
      </c>
      <c r="D36" s="30" t="n">
        <v>225897</v>
      </c>
      <c r="E36" s="30" t="n">
        <v>111012</v>
      </c>
      <c r="F36" s="30" t="n">
        <v>188284</v>
      </c>
      <c r="G36" s="30" t="n">
        <v>73328</v>
      </c>
      <c r="H36" s="30" t="n">
        <v>160971</v>
      </c>
      <c r="I36" s="30" t="n">
        <v>183831</v>
      </c>
      <c r="J36" s="31" t="n">
        <v>45524</v>
      </c>
      <c r="K36" s="31" t="n">
        <v>21938</v>
      </c>
      <c r="L36" s="31" t="n">
        <v>12302</v>
      </c>
      <c r="M36" s="31" t="n">
        <v>63213</v>
      </c>
      <c r="N36" s="31" t="n">
        <v>32964</v>
      </c>
      <c r="O36" s="31" t="n">
        <v>112415</v>
      </c>
      <c r="P36" s="31" t="n">
        <v>359240</v>
      </c>
      <c r="Q36" s="32" t="n">
        <v>32964</v>
      </c>
      <c r="R36" s="33" t="n">
        <f aca="false">IFERROR(AVERAGEIF(C36:I36,"&gt;0"),0)</f>
        <v>152419.714285714</v>
      </c>
      <c r="S36" s="34" t="n">
        <f aca="false">IFERROR(AVERAGEIF(J36:P36,"&gt;0"),0)</f>
        <v>92513.7142857143</v>
      </c>
      <c r="T36" s="80" t="n">
        <f aca="false">S36-R36</f>
        <v>-59906</v>
      </c>
      <c r="U36" s="81" t="n">
        <f aca="false">IFERROR(S36/R36,"n/a")</f>
        <v>0.606966852806817</v>
      </c>
      <c r="V36" s="69" t="n">
        <f aca="false">IFERROR(S36/$C$3,0)</f>
        <v>0.000267960724025648</v>
      </c>
      <c r="W36" s="69" t="n">
        <f aca="false">IFERROR(T36/$D$4,0)</f>
        <v>-0.000408917956030271</v>
      </c>
      <c r="X36" s="73" t="n">
        <f aca="false">IFERROR((V36+W36)/2,0)</f>
        <v>-7.04786160023113E-005</v>
      </c>
      <c r="Y36" s="82"/>
      <c r="Z36" s="53" t="n">
        <f aca="false">IFERROR(POWER(P36/C36,1/13)-1,"n/a")</f>
        <v>0.0855241783245744</v>
      </c>
      <c r="AA36" s="59" t="n">
        <f aca="false">IFERROR(POWER(P36/J36,1/6)-1,"n/a")</f>
        <v>0.410990356355691</v>
      </c>
      <c r="AB36" s="70" t="n">
        <f aca="false">IFERROR(AA36-Z36,"n/a")</f>
        <v>0.325466178031116</v>
      </c>
      <c r="AC36" s="44" t="n">
        <f aca="false">IFERROR(SLOPE(C36:P36,{1,2,3,4,5,6,7,8,9,10,11,12,13,14})/AVERAGEIF(C36:P36,"&gt;0"),"n/a")</f>
        <v>-0.0111919533910582</v>
      </c>
      <c r="AD36" s="43" t="n">
        <f aca="false">IFERROR(SLOPE(J36:P36,{1,2,3,4,5,6,7})/AVERAGEIF(J36:P36,"&gt;0"),"n/a")</f>
        <v>0.441156214677052</v>
      </c>
      <c r="AE36" s="46" t="n">
        <f aca="false">IFERROR(J36/I36,"n/a")</f>
        <v>0.247640495890247</v>
      </c>
      <c r="AF36" s="46" t="n">
        <f aca="false">IFERROR(J36/H36,"n/a")</f>
        <v>0.282808704673513</v>
      </c>
      <c r="AG36" s="56" t="n">
        <v>1.81817727925023</v>
      </c>
      <c r="AH36" s="47" t="s">
        <v>337</v>
      </c>
      <c r="AI36" s="48" t="n">
        <v>0.0235</v>
      </c>
      <c r="AJ36" s="49" t="s">
        <v>338</v>
      </c>
    </row>
    <row r="37" customFormat="false" ht="16.5" hidden="false" customHeight="true" outlineLevel="0" collapsed="false">
      <c r="A37" s="86" t="s">
        <v>248</v>
      </c>
      <c r="B37" s="87" t="s">
        <v>249</v>
      </c>
      <c r="C37" s="30" t="n">
        <v>52603</v>
      </c>
      <c r="D37" s="30" t="n">
        <v>66947</v>
      </c>
      <c r="E37" s="30" t="n">
        <v>121214</v>
      </c>
      <c r="F37" s="30" t="n">
        <v>44417</v>
      </c>
      <c r="G37" s="30" t="n">
        <v>37483</v>
      </c>
      <c r="H37" s="30" t="n">
        <v>49224</v>
      </c>
      <c r="I37" s="30" t="n">
        <v>70533</v>
      </c>
      <c r="J37" s="31" t="n">
        <v>54497</v>
      </c>
      <c r="K37" s="31" t="n">
        <v>46947</v>
      </c>
      <c r="L37" s="31" t="n">
        <v>75388</v>
      </c>
      <c r="M37" s="31" t="n">
        <v>72876</v>
      </c>
      <c r="N37" s="31" t="n">
        <v>51092</v>
      </c>
      <c r="O37" s="31" t="n">
        <v>58314</v>
      </c>
      <c r="P37" s="31" t="n">
        <v>59815</v>
      </c>
      <c r="Q37" s="32" t="n">
        <v>51092</v>
      </c>
      <c r="R37" s="33" t="n">
        <f aca="false">IFERROR(AVERAGEIF(C37:I37,"&gt;0"),0)</f>
        <v>63203</v>
      </c>
      <c r="S37" s="34" t="n">
        <f aca="false">IFERROR(AVERAGEIF(J37:P37,"&gt;0"),0)</f>
        <v>59847</v>
      </c>
      <c r="T37" s="80" t="n">
        <f aca="false">S37-R37</f>
        <v>-3356</v>
      </c>
      <c r="U37" s="81" t="n">
        <f aca="false">IFERROR(S37/R37,"n/a")</f>
        <v>0.946901254687278</v>
      </c>
      <c r="V37" s="69" t="n">
        <f aca="false">IFERROR(S37/$C$3,0)</f>
        <v>0.000173343439668159</v>
      </c>
      <c r="W37" s="69" t="n">
        <f aca="false">IFERROR(T37/$D$4,0)</f>
        <v>-2.29080335932559E-005</v>
      </c>
      <c r="X37" s="73" t="n">
        <f aca="false">IFERROR((V37+W37)/2,0)</f>
        <v>7.52177030374514E-005</v>
      </c>
      <c r="Y37" s="82"/>
      <c r="Z37" s="40" t="n">
        <f aca="false">IFERROR(POWER(P37/C37,1/13)-1,"n/a")</f>
        <v>0.00993233321420117</v>
      </c>
      <c r="AA37" s="40" t="n">
        <f aca="false">IFERROR(POWER(P37/J37,1/6)-1,"n/a")</f>
        <v>0.0156395052809091</v>
      </c>
      <c r="AB37" s="57" t="n">
        <f aca="false">IFERROR(AA37-Z37,"n/a")</f>
        <v>0.0057071720667079</v>
      </c>
      <c r="AC37" s="44" t="n">
        <f aca="false">IFERROR(SLOPE(C37:P37,{1,2,3,4,5,6,7,8,9,10,11,12,13,14})/AVERAGEIF(C37:P37,"&gt;0"),"n/a")</f>
        <v>-0.00951758197105617</v>
      </c>
      <c r="AD37" s="43" t="n">
        <f aca="false">IFERROR(SLOPE(J37:P37,{1,2,3,4,5,6,7})/AVERAGEIF(J37:P37,"&gt;0"),"n/a")</f>
        <v>0.00858856751382693</v>
      </c>
      <c r="AE37" s="46" t="n">
        <f aca="false">IFERROR(J37/I37,"n/a")</f>
        <v>0.772645428381041</v>
      </c>
      <c r="AF37" s="46" t="n">
        <f aca="false">IFERROR(J37/H37,"n/a")</f>
        <v>1.1071225418495</v>
      </c>
      <c r="AG37" s="46" t="n">
        <v>0.942520092903571</v>
      </c>
      <c r="AH37" s="47" t="s">
        <v>90</v>
      </c>
      <c r="AI37" s="48" t="n">
        <v>0.025</v>
      </c>
      <c r="AJ37" s="49" t="s">
        <v>91</v>
      </c>
    </row>
    <row r="38" customFormat="false" ht="16.5" hidden="false" customHeight="true" outlineLevel="0" collapsed="false">
      <c r="A38" s="86" t="s">
        <v>220</v>
      </c>
      <c r="B38" s="87" t="s">
        <v>221</v>
      </c>
      <c r="C38" s="30" t="n">
        <v>48532</v>
      </c>
      <c r="D38" s="30" t="n">
        <v>68756</v>
      </c>
      <c r="E38" s="30" t="n">
        <v>124367</v>
      </c>
      <c r="F38" s="30" t="n">
        <v>86098</v>
      </c>
      <c r="G38" s="30" t="n">
        <v>50935</v>
      </c>
      <c r="H38" s="30" t="n">
        <v>64205</v>
      </c>
      <c r="I38" s="30" t="n">
        <v>41714</v>
      </c>
      <c r="J38" s="31" t="n">
        <v>36145</v>
      </c>
      <c r="K38" s="31" t="n">
        <v>45863</v>
      </c>
      <c r="L38" s="31" t="n">
        <v>55761</v>
      </c>
      <c r="M38" s="31" t="n">
        <v>62339</v>
      </c>
      <c r="N38" s="31" t="n">
        <v>45632</v>
      </c>
      <c r="O38" s="31" t="n">
        <v>54600</v>
      </c>
      <c r="P38" s="31" t="n">
        <v>75482</v>
      </c>
      <c r="Q38" s="32" t="n">
        <v>45632</v>
      </c>
      <c r="R38" s="33" t="n">
        <f aca="false">IFERROR(AVERAGEIF(C38:I38,"&gt;0"),0)</f>
        <v>69229.5714285714</v>
      </c>
      <c r="S38" s="34" t="n">
        <f aca="false">IFERROR(AVERAGEIF(J38:P38,"&gt;0"),0)</f>
        <v>53688.8571428571</v>
      </c>
      <c r="T38" s="80" t="n">
        <f aca="false">S38-R38</f>
        <v>-15540.7142857143</v>
      </c>
      <c r="U38" s="81" t="n">
        <f aca="false">IFERROR(S38/R38,"n/a")</f>
        <v>0.775519131997681</v>
      </c>
      <c r="V38" s="69" t="n">
        <f aca="false">IFERROR(S38/$C$3,0)</f>
        <v>0.000155506728307104</v>
      </c>
      <c r="W38" s="69" t="n">
        <f aca="false">IFERROR(T38/$D$4,0)</f>
        <v>-0.000106080811954808</v>
      </c>
      <c r="X38" s="73" t="n">
        <f aca="false">IFERROR((V38+W38)/2,0)</f>
        <v>2.4712958176148E-005</v>
      </c>
      <c r="Y38" s="82"/>
      <c r="Z38" s="40" t="n">
        <f aca="false">IFERROR(POWER(P38/C38,1/13)-1,"n/a")</f>
        <v>0.0345584116198356</v>
      </c>
      <c r="AA38" s="53" t="n">
        <f aca="false">IFERROR(POWER(P38/J38,1/6)-1,"n/a")</f>
        <v>0.130574523954905</v>
      </c>
      <c r="AB38" s="57" t="n">
        <f aca="false">IFERROR(AA38-Z38,"n/a")</f>
        <v>0.0960161123350689</v>
      </c>
      <c r="AC38" s="44" t="n">
        <f aca="false">IFERROR(SLOPE(C38:P38,{1,2,3,4,5,6,7,8,9,10,11,12,13,14})/AVERAGEIF(C38:P38,"&gt;0"),"n/a")</f>
        <v>-0.025631543191737</v>
      </c>
      <c r="AD38" s="43" t="n">
        <f aca="false">IFERROR(SLOPE(J38:P38,{1,2,3,4,5,6,7})/AVERAGEIF(J38:P38,"&gt;0"),"n/a")</f>
        <v>0.0833878804327581</v>
      </c>
      <c r="AE38" s="46" t="n">
        <f aca="false">IFERROR(J38/I38,"n/a")</f>
        <v>0.866495660929184</v>
      </c>
      <c r="AF38" s="46" t="n">
        <f aca="false">IFERROR(J38/H38,"n/a")</f>
        <v>0.562962386107001</v>
      </c>
      <c r="AG38" s="56" t="n">
        <v>1.09094021460514</v>
      </c>
      <c r="AH38" s="47" t="s">
        <v>144</v>
      </c>
      <c r="AI38" s="48" t="n">
        <v>0.03</v>
      </c>
      <c r="AJ38" s="49" t="s">
        <v>145</v>
      </c>
    </row>
    <row r="39" customFormat="false" ht="16.5" hidden="false" customHeight="true" outlineLevel="0" collapsed="false">
      <c r="A39" s="86" t="s">
        <v>234</v>
      </c>
      <c r="B39" s="87" t="s">
        <v>235</v>
      </c>
      <c r="C39" s="30" t="n">
        <v>4228</v>
      </c>
      <c r="D39" s="50" t="s">
        <v>89</v>
      </c>
      <c r="E39" s="50" t="s">
        <v>89</v>
      </c>
      <c r="F39" s="30" t="n">
        <v>1517</v>
      </c>
      <c r="G39" s="50" t="s">
        <v>89</v>
      </c>
      <c r="H39" s="30" t="n">
        <v>320353</v>
      </c>
      <c r="I39" s="30" t="n">
        <v>794948</v>
      </c>
      <c r="J39" s="31" t="n">
        <v>10259</v>
      </c>
      <c r="K39" s="31" t="n">
        <v>12323</v>
      </c>
      <c r="L39" s="31" t="n">
        <v>49076</v>
      </c>
      <c r="M39" s="31" t="n">
        <v>48564</v>
      </c>
      <c r="N39" s="31" t="n">
        <v>159308</v>
      </c>
      <c r="O39" s="31" t="n">
        <v>1559</v>
      </c>
      <c r="P39" s="31" t="n">
        <v>7345</v>
      </c>
      <c r="Q39" s="32" t="n">
        <v>159308</v>
      </c>
      <c r="R39" s="33" t="n">
        <f aca="false">IFERROR(AVERAGEIF(C39:I39,"&gt;0"),0)</f>
        <v>280261.5</v>
      </c>
      <c r="S39" s="34" t="n">
        <f aca="false">IFERROR(AVERAGEIF(J39:P39,"&gt;0"),0)</f>
        <v>41204.8571428571</v>
      </c>
      <c r="T39" s="80" t="n">
        <f aca="false">S39-R39</f>
        <v>-239056.642857143</v>
      </c>
      <c r="U39" s="81" t="n">
        <f aca="false">IFERROR(S39/R39,"n/a")</f>
        <v>0.147022895199152</v>
      </c>
      <c r="V39" s="69" t="n">
        <f aca="false">IFERROR(S39/$C$3,0)</f>
        <v>0.000119347530672848</v>
      </c>
      <c r="W39" s="69" t="n">
        <f aca="false">IFERROR(T39/$D$4,0)</f>
        <v>-0.00163179904805197</v>
      </c>
      <c r="X39" s="73" t="n">
        <f aca="false">IFERROR((V39+W39)/2,0)</f>
        <v>-0.000756225758689561</v>
      </c>
      <c r="Y39" s="82"/>
      <c r="Z39" s="40" t="n">
        <f aca="false">IFERROR(POWER(P39/C39,1/13)-1,"n/a")</f>
        <v>0.0433992608507119</v>
      </c>
      <c r="AA39" s="41" t="n">
        <f aca="false">IFERROR(POWER(P39/J39,1/6)-1,"n/a")</f>
        <v>-0.0541670015414533</v>
      </c>
      <c r="AB39" s="42" t="n">
        <f aca="false">IFERROR(AA39-Z39,"n/a")</f>
        <v>-0.0975662623921652</v>
      </c>
      <c r="AC39" s="44" t="n">
        <f aca="false">IFERROR(SLOPE(C39:P39,{1,2,3,4,5,6,7,8,9,10,11,12,13,14})/AVERAGEIF(C39:P39,"&gt;0"),"n/a")</f>
        <v>-0.0709409384411651</v>
      </c>
      <c r="AD39" s="43" t="n">
        <f aca="false">IFERROR(SLOPE(J39:P39,{1,2,3,4,5,6,7})/AVERAGEIF(J39:P39,"&gt;0"),"n/a")</f>
        <v>0.0693070165098428</v>
      </c>
      <c r="AE39" s="46" t="n">
        <f aca="false">IFERROR(J39/I39,"n/a")</f>
        <v>0.0129052466324841</v>
      </c>
      <c r="AF39" s="46" t="n">
        <f aca="false">IFERROR(J39/H39,"n/a")</f>
        <v>0.0320240484715298</v>
      </c>
      <c r="AG39" s="56" t="n">
        <v>1.36077808672579</v>
      </c>
      <c r="AH39" s="47" t="s">
        <v>335</v>
      </c>
      <c r="AI39" s="48" t="n">
        <v>0.07</v>
      </c>
      <c r="AJ39" s="49" t="s">
        <v>336</v>
      </c>
    </row>
    <row r="40" customFormat="false" ht="16.5" hidden="false" customHeight="true" outlineLevel="0" collapsed="false">
      <c r="A40" s="86" t="s">
        <v>284</v>
      </c>
      <c r="B40" s="87" t="s">
        <v>285</v>
      </c>
      <c r="C40" s="30" t="n">
        <v>61012</v>
      </c>
      <c r="D40" s="30" t="n">
        <v>21309</v>
      </c>
      <c r="E40" s="30" t="n">
        <v>67791</v>
      </c>
      <c r="F40" s="30" t="n">
        <v>86388</v>
      </c>
      <c r="G40" s="30" t="n">
        <v>56509</v>
      </c>
      <c r="H40" s="30" t="n">
        <v>77364</v>
      </c>
      <c r="I40" s="30" t="n">
        <v>129970</v>
      </c>
      <c r="J40" s="31" t="n">
        <v>171810</v>
      </c>
      <c r="K40" s="31" t="n">
        <v>3939</v>
      </c>
      <c r="L40" s="31" t="n">
        <v>5769</v>
      </c>
      <c r="M40" s="31" t="n">
        <v>9543</v>
      </c>
      <c r="N40" s="31" t="n">
        <v>8882</v>
      </c>
      <c r="O40" s="31" t="n">
        <v>1827</v>
      </c>
      <c r="P40" s="31" t="n">
        <v>28617</v>
      </c>
      <c r="Q40" s="32" t="n">
        <v>8882</v>
      </c>
      <c r="R40" s="33" t="n">
        <f aca="false">IFERROR(AVERAGEIF(C40:I40,"&gt;0"),0)</f>
        <v>71477.5714285714</v>
      </c>
      <c r="S40" s="34" t="n">
        <f aca="false">IFERROR(AVERAGEIF(J40:P40,"&gt;0"),0)</f>
        <v>32912.4285714286</v>
      </c>
      <c r="T40" s="80" t="n">
        <f aca="false">S40-R40</f>
        <v>-38565.1428571429</v>
      </c>
      <c r="U40" s="81" t="n">
        <f aca="false">IFERROR(S40/R40,"n/a")</f>
        <v>0.460458125725752</v>
      </c>
      <c r="V40" s="69" t="n">
        <f aca="false">IFERROR(S40/$C$3,0)</f>
        <v>9.53289818437684E-005</v>
      </c>
      <c r="W40" s="69" t="n">
        <f aca="false">IFERROR(T40/$D$4,0)</f>
        <v>-0.000263245407657969</v>
      </c>
      <c r="X40" s="73" t="n">
        <f aca="false">IFERROR((V40+W40)/2,0)</f>
        <v>-8.39582129071001E-005</v>
      </c>
      <c r="Y40" s="82"/>
      <c r="Z40" s="41" t="n">
        <f aca="false">IFERROR(POWER(P40/C40,1/13)-1,"n/a")</f>
        <v>-0.0565728451893173</v>
      </c>
      <c r="AA40" s="41" t="n">
        <f aca="false">IFERROR(POWER(P40/J40,1/6)-1,"n/a")</f>
        <v>-0.258241364666276</v>
      </c>
      <c r="AB40" s="42" t="n">
        <f aca="false">IFERROR(AA40-Z40,"n/a")</f>
        <v>-0.201668519476959</v>
      </c>
      <c r="AC40" s="44" t="n">
        <f aca="false">IFERROR(SLOPE(C40:P40,{1,2,3,4,5,6,7,8,9,10,11,12,13,14})/AVERAGEIF(C40:P40,"&gt;0"),"n/a")</f>
        <v>-0.0899276908549827</v>
      </c>
      <c r="AD40" s="44" t="n">
        <f aca="false">IFERROR(SLOPE(J40:P40,{1,2,3,4,5,6,7})/AVERAGEIF(J40:P40,"&gt;0"),"n/a")</f>
        <v>-0.467354928880536</v>
      </c>
      <c r="AE40" s="45" t="n">
        <f aca="false">IFERROR(J40/I40,"n/a")</f>
        <v>1.3219204431792</v>
      </c>
      <c r="AF40" s="71" t="n">
        <f aca="false">IFERROR(J40/H40,"n/a")</f>
        <v>2.22080037226617</v>
      </c>
      <c r="AG40" s="72" t="n">
        <v>0.39828925532546</v>
      </c>
      <c r="AH40" s="47" t="s">
        <v>148</v>
      </c>
      <c r="AI40" s="48" t="n">
        <v>0.06</v>
      </c>
      <c r="AJ40" s="49" t="s">
        <v>149</v>
      </c>
    </row>
    <row r="41" customFormat="false" ht="16.5" hidden="false" customHeight="true" outlineLevel="0" collapsed="false">
      <c r="A41" s="86" t="s">
        <v>232</v>
      </c>
      <c r="B41" s="87" t="s">
        <v>233</v>
      </c>
      <c r="C41" s="30" t="n">
        <v>9225</v>
      </c>
      <c r="D41" s="30" t="n">
        <v>44627</v>
      </c>
      <c r="E41" s="30" t="n">
        <v>36473</v>
      </c>
      <c r="F41" s="30" t="n">
        <v>44057</v>
      </c>
      <c r="G41" s="30" t="n">
        <v>52147</v>
      </c>
      <c r="H41" s="30" t="n">
        <v>36993</v>
      </c>
      <c r="I41" s="30" t="n">
        <v>15746</v>
      </c>
      <c r="J41" s="31" t="n">
        <v>13129</v>
      </c>
      <c r="K41" s="31" t="n">
        <v>11429</v>
      </c>
      <c r="L41" s="31" t="n">
        <v>23845</v>
      </c>
      <c r="M41" s="31" t="n">
        <v>6974</v>
      </c>
      <c r="N41" s="31" t="n">
        <v>12032</v>
      </c>
      <c r="O41" s="31" t="n">
        <v>32429</v>
      </c>
      <c r="P41" s="31" t="n">
        <v>112571</v>
      </c>
      <c r="Q41" s="32" t="n">
        <v>12032</v>
      </c>
      <c r="R41" s="33" t="n">
        <f aca="false">IFERROR(AVERAGEIF(C41:I41,"&gt;0"),0)</f>
        <v>34181.1428571429</v>
      </c>
      <c r="S41" s="34" t="n">
        <f aca="false">IFERROR(AVERAGEIF(J41:P41,"&gt;0"),0)</f>
        <v>30344.1428571429</v>
      </c>
      <c r="T41" s="80" t="n">
        <f aca="false">S41-R41</f>
        <v>-3837</v>
      </c>
      <c r="U41" s="81" t="n">
        <f aca="false">IFERROR(S41/R41,"n/a")</f>
        <v>0.887745122624003</v>
      </c>
      <c r="V41" s="69" t="n">
        <f aca="false">IFERROR(S41/$C$3,0)</f>
        <v>8.78900880017232E-005</v>
      </c>
      <c r="W41" s="69" t="n">
        <f aca="false">IFERROR(T41/$D$4,0)</f>
        <v>-2.61913363818006E-005</v>
      </c>
      <c r="X41" s="73" t="n">
        <f aca="false">IFERROR((V41+W41)/2,0)</f>
        <v>3.08493758099613E-005</v>
      </c>
      <c r="Y41" s="82"/>
      <c r="Z41" s="59" t="n">
        <f aca="false">IFERROR(POWER(P41/C41,1/13)-1,"n/a")</f>
        <v>0.212198822003869</v>
      </c>
      <c r="AA41" s="59" t="n">
        <f aca="false">IFERROR(POWER(P41/J41,1/6)-1,"n/a")</f>
        <v>0.430646969654154</v>
      </c>
      <c r="AB41" s="70" t="n">
        <f aca="false">IFERROR(AA41-Z41,"n/a")</f>
        <v>0.218448147650285</v>
      </c>
      <c r="AC41" s="43" t="n">
        <f aca="false">IFERROR(SLOPE(C41:P41,{1,2,3,4,5,6,7,8,9,10,11,12,13,14})/AVERAGEIF(C41:P41,"&gt;0"),"n/a")</f>
        <v>0.0346708616317208</v>
      </c>
      <c r="AD41" s="43" t="n">
        <f aca="false">IFERROR(SLOPE(J41:P41,{1,2,3,4,5,6,7})/AVERAGEIF(J41:P41,"&gt;0"),"n/a")</f>
        <v>0.386651460154702</v>
      </c>
      <c r="AE41" s="46" t="n">
        <f aca="false">IFERROR(J41/I41,"n/a")</f>
        <v>0.83379906007875</v>
      </c>
      <c r="AF41" s="46" t="n">
        <f aca="false">IFERROR(J41/H41,"n/a")</f>
        <v>0.354904982023626</v>
      </c>
      <c r="AG41" s="56" t="n">
        <v>1.72501165204864</v>
      </c>
      <c r="AH41" s="47" t="s">
        <v>148</v>
      </c>
      <c r="AI41" s="48" t="n">
        <v>0.06</v>
      </c>
      <c r="AJ41" s="49" t="s">
        <v>149</v>
      </c>
    </row>
    <row r="42" customFormat="false" ht="16.5" hidden="false" customHeight="true" outlineLevel="0" collapsed="false">
      <c r="A42" s="86" t="s">
        <v>276</v>
      </c>
      <c r="B42" s="87" t="s">
        <v>277</v>
      </c>
      <c r="C42" s="30" t="n">
        <v>263825</v>
      </c>
      <c r="D42" s="30" t="n">
        <v>280</v>
      </c>
      <c r="E42" s="30" t="n">
        <v>31811</v>
      </c>
      <c r="F42" s="30" t="n">
        <v>4621</v>
      </c>
      <c r="G42" s="30" t="n">
        <v>51555</v>
      </c>
      <c r="H42" s="30" t="n">
        <v>16719</v>
      </c>
      <c r="I42" s="30" t="n">
        <v>3097</v>
      </c>
      <c r="J42" s="31" t="n">
        <v>11738</v>
      </c>
      <c r="K42" s="31" t="n">
        <v>8412</v>
      </c>
      <c r="L42" s="31" t="n">
        <v>2080</v>
      </c>
      <c r="M42" s="31" t="n">
        <v>231</v>
      </c>
      <c r="N42" s="31" t="n">
        <v>61872</v>
      </c>
      <c r="O42" s="31" t="n">
        <v>18390</v>
      </c>
      <c r="P42" s="31" t="n">
        <v>83931</v>
      </c>
      <c r="Q42" s="32" t="n">
        <v>61872</v>
      </c>
      <c r="R42" s="33" t="n">
        <f aca="false">IFERROR(AVERAGEIF(C42:I42,"&gt;0"),0)</f>
        <v>53129.7142857143</v>
      </c>
      <c r="S42" s="34" t="n">
        <f aca="false">IFERROR(AVERAGEIF(J42:P42,"&gt;0"),0)</f>
        <v>26664.8571428571</v>
      </c>
      <c r="T42" s="80" t="n">
        <f aca="false">S42-R42</f>
        <v>-26464.8571428571</v>
      </c>
      <c r="U42" s="81" t="n">
        <f aca="false">IFERROR(S42/R42,"n/a")</f>
        <v>0.501882185916947</v>
      </c>
      <c r="V42" s="69" t="n">
        <f aca="false">IFERROR(S42/$C$3,0)</f>
        <v>7.72332456999169E-005</v>
      </c>
      <c r="W42" s="69" t="n">
        <f aca="false">IFERROR(T42/$D$4,0)</f>
        <v>-0.00018064893816129</v>
      </c>
      <c r="X42" s="73" t="n">
        <f aca="false">IFERROR((V42+W42)/2,0)</f>
        <v>-5.17078462306867E-005</v>
      </c>
      <c r="Y42" s="82"/>
      <c r="Z42" s="41" t="n">
        <f aca="false">IFERROR(POWER(P42/C42,1/13)-1,"n/a")</f>
        <v>-0.0843300588772719</v>
      </c>
      <c r="AA42" s="59" t="n">
        <f aca="false">IFERROR(POWER(P42/J42,1/6)-1,"n/a")</f>
        <v>0.387995470054426</v>
      </c>
      <c r="AB42" s="70" t="n">
        <f aca="false">IFERROR(AA42-Z42,"n/a")</f>
        <v>0.472325528931698</v>
      </c>
      <c r="AC42" s="44" t="n">
        <f aca="false">IFERROR(SLOPE(C42:P42,{1,2,3,4,5,6,7,8,9,10,11,12,13,14})/AVERAGEIF(C42:P42,"&gt;0"),"n/a")</f>
        <v>-0.119165780921504</v>
      </c>
      <c r="AD42" s="43" t="n">
        <f aca="false">IFERROR(SLOPE(J42:P42,{1,2,3,4,5,6,7})/AVERAGEIF(J42:P42,"&gt;0"),"n/a")</f>
        <v>0.396893449912673</v>
      </c>
      <c r="AE42" s="54" t="n">
        <f aca="false">IFERROR(J42/I42,"n/a")</f>
        <v>3.79011947045528</v>
      </c>
      <c r="AF42" s="46" t="n">
        <f aca="false">IFERROR(J42/H42,"n/a")</f>
        <v>0.702075482983432</v>
      </c>
      <c r="AG42" s="56" t="n">
        <v>2.05255178029938</v>
      </c>
      <c r="AH42" s="47" t="s">
        <v>344</v>
      </c>
      <c r="AI42" s="48" t="n">
        <v>0.016</v>
      </c>
      <c r="AJ42" s="49" t="s">
        <v>345</v>
      </c>
    </row>
    <row r="43" customFormat="false" ht="16.5" hidden="false" customHeight="true" outlineLevel="0" collapsed="false">
      <c r="A43" s="86" t="s">
        <v>286</v>
      </c>
      <c r="B43" s="87" t="s">
        <v>287</v>
      </c>
      <c r="C43" s="30" t="n">
        <v>10347</v>
      </c>
      <c r="D43" s="30" t="n">
        <v>40111</v>
      </c>
      <c r="E43" s="30" t="n">
        <v>44723</v>
      </c>
      <c r="F43" s="30" t="n">
        <v>27897</v>
      </c>
      <c r="G43" s="30" t="n">
        <v>46426</v>
      </c>
      <c r="H43" s="30" t="n">
        <v>78901</v>
      </c>
      <c r="I43" s="30" t="n">
        <v>85951</v>
      </c>
      <c r="J43" s="31" t="n">
        <v>20126</v>
      </c>
      <c r="K43" s="31" t="n">
        <v>4544</v>
      </c>
      <c r="L43" s="31" t="n">
        <v>10464</v>
      </c>
      <c r="M43" s="31" t="n">
        <v>13771</v>
      </c>
      <c r="N43" s="31" t="n">
        <v>22031</v>
      </c>
      <c r="O43" s="31" t="n">
        <v>33624</v>
      </c>
      <c r="P43" s="31" t="n">
        <v>26649</v>
      </c>
      <c r="Q43" s="32" t="n">
        <v>22031</v>
      </c>
      <c r="R43" s="33" t="n">
        <f aca="false">IFERROR(AVERAGEIF(C43:I43,"&gt;0"),0)</f>
        <v>47765.1428571429</v>
      </c>
      <c r="S43" s="34" t="n">
        <f aca="false">IFERROR(AVERAGEIF(J43:P43,"&gt;0"),0)</f>
        <v>18744.1428571429</v>
      </c>
      <c r="T43" s="80" t="n">
        <f aca="false">S43-R43</f>
        <v>-29021</v>
      </c>
      <c r="U43" s="81" t="n">
        <f aca="false">IFERROR(S43/R43,"n/a")</f>
        <v>0.392423046094582</v>
      </c>
      <c r="V43" s="69" t="n">
        <f aca="false">IFERROR(S43/$C$3,0)</f>
        <v>5.42913462076376E-005</v>
      </c>
      <c r="W43" s="69" t="n">
        <f aca="false">IFERROR(T43/$D$4,0)</f>
        <v>-0.000198097152237747</v>
      </c>
      <c r="X43" s="73" t="n">
        <f aca="false">IFERROR((V43+W43)/2,0)</f>
        <v>-7.19029030150549E-005</v>
      </c>
      <c r="Y43" s="82"/>
      <c r="Z43" s="53" t="n">
        <f aca="false">IFERROR(POWER(P43/C43,1/13)-1,"n/a")</f>
        <v>0.0754868704919187</v>
      </c>
      <c r="AA43" s="40" t="n">
        <f aca="false">IFERROR(POWER(P43/J43,1/6)-1,"n/a")</f>
        <v>0.0479017719920112</v>
      </c>
      <c r="AB43" s="42" t="n">
        <f aca="false">IFERROR(AA43-Z43,"n/a")</f>
        <v>-0.0275850984999075</v>
      </c>
      <c r="AC43" s="44" t="n">
        <f aca="false">IFERROR(SLOPE(C43:P43,{1,2,3,4,5,6,7,8,9,10,11,12,13,14})/AVERAGEIF(C43:P43,"&gt;0"),"n/a")</f>
        <v>-0.041719168355406</v>
      </c>
      <c r="AD43" s="43" t="n">
        <f aca="false">IFERROR(SLOPE(J43:P43,{1,2,3,4,5,6,7})/AVERAGEIF(J43:P43,"&gt;0"),"n/a")</f>
        <v>0.170140767782698</v>
      </c>
      <c r="AE43" s="46" t="n">
        <f aca="false">IFERROR(J43/I43,"n/a")</f>
        <v>0.234156670661191</v>
      </c>
      <c r="AF43" s="46" t="n">
        <f aca="false">IFERROR(J43/H43,"n/a")</f>
        <v>0.255079149820661</v>
      </c>
      <c r="AG43" s="56" t="n">
        <v>1.46363943530296</v>
      </c>
      <c r="AH43" s="47" t="s">
        <v>148</v>
      </c>
      <c r="AI43" s="48" t="n">
        <v>0.06</v>
      </c>
      <c r="AJ43" s="49" t="s">
        <v>149</v>
      </c>
    </row>
    <row r="44" customFormat="false" ht="16.5" hidden="false" customHeight="true" outlineLevel="0" collapsed="false">
      <c r="A44" s="86" t="s">
        <v>222</v>
      </c>
      <c r="B44" s="87" t="s">
        <v>223</v>
      </c>
      <c r="C44" s="30" t="n">
        <v>1573</v>
      </c>
      <c r="D44" s="30" t="n">
        <v>3875</v>
      </c>
      <c r="E44" s="30" t="n">
        <v>18679</v>
      </c>
      <c r="F44" s="30" t="n">
        <v>34521</v>
      </c>
      <c r="G44" s="30" t="n">
        <v>20414</v>
      </c>
      <c r="H44" s="30" t="n">
        <v>18511</v>
      </c>
      <c r="I44" s="30" t="n">
        <v>12968</v>
      </c>
      <c r="J44" s="31" t="n">
        <v>812</v>
      </c>
      <c r="K44" s="31" t="n">
        <v>783</v>
      </c>
      <c r="L44" s="31" t="n">
        <v>75</v>
      </c>
      <c r="M44" s="31" t="n">
        <v>4292</v>
      </c>
      <c r="N44" s="31" t="n">
        <v>4845</v>
      </c>
      <c r="O44" s="31" t="n">
        <v>13537</v>
      </c>
      <c r="P44" s="31" t="n">
        <v>67936</v>
      </c>
      <c r="Q44" s="32" t="n">
        <v>4845</v>
      </c>
      <c r="R44" s="33" t="n">
        <f aca="false">IFERROR(AVERAGEIF(C44:I44,"&gt;0"),0)</f>
        <v>15791.5714285714</v>
      </c>
      <c r="S44" s="34" t="n">
        <f aca="false">IFERROR(AVERAGEIF(J44:P44,"&gt;0"),0)</f>
        <v>13182.8571428571</v>
      </c>
      <c r="T44" s="80" t="n">
        <f aca="false">S44-R44</f>
        <v>-2608.71428571429</v>
      </c>
      <c r="U44" s="81" t="n">
        <f aca="false">IFERROR(S44/R44,"n/a")</f>
        <v>0.834803376122887</v>
      </c>
      <c r="V44" s="69" t="n">
        <f aca="false">IFERROR(S44/$C$3,0)</f>
        <v>3.81833976940667E-005</v>
      </c>
      <c r="W44" s="69" t="n">
        <f aca="false">IFERROR(T44/$D$4,0)</f>
        <v>-1.7807066296886E-005</v>
      </c>
      <c r="X44" s="73" t="n">
        <f aca="false">IFERROR((V44+W44)/2,0)</f>
        <v>1.01881656985904E-005</v>
      </c>
      <c r="Y44" s="82"/>
      <c r="Z44" s="59" t="n">
        <f aca="false">IFERROR(POWER(P44/C44,1/13)-1,"n/a")</f>
        <v>0.33597333010484</v>
      </c>
      <c r="AA44" s="59" t="n">
        <f aca="false">IFERROR(POWER(P44/J44,1/6)-1,"n/a")</f>
        <v>1.09133685295934</v>
      </c>
      <c r="AB44" s="70" t="n">
        <f aca="false">IFERROR(AA44-Z44,"n/a")</f>
        <v>0.755363522854498</v>
      </c>
      <c r="AC44" s="43" t="n">
        <f aca="false">IFERROR(SLOPE(C44:P44,{1,2,3,4,5,6,7,8,9,10,11,12,13,14})/AVERAGEIF(C44:P44,"&gt;0"),"n/a")</f>
        <v>0.0706734585593283</v>
      </c>
      <c r="AD44" s="43" t="n">
        <f aca="false">IFERROR(SLOPE(J44:P44,{1,2,3,4,5,6,7})/AVERAGEIF(J44:P44,"&gt;0"),"n/a")</f>
        <v>0.627573688773299</v>
      </c>
      <c r="AE44" s="46" t="n">
        <f aca="false">IFERROR(J44/I44,"n/a")</f>
        <v>0.0626156693399136</v>
      </c>
      <c r="AF44" s="46" t="n">
        <f aca="false">IFERROR(J44/H44,"n/a")</f>
        <v>0.0438658095186646</v>
      </c>
      <c r="AG44" s="56" t="n">
        <v>2.18258199682127</v>
      </c>
      <c r="AH44" s="47" t="s">
        <v>190</v>
      </c>
      <c r="AI44" s="48" t="n">
        <v>0.1</v>
      </c>
      <c r="AJ44" s="61" t="s">
        <v>191</v>
      </c>
    </row>
    <row r="45" customFormat="false" ht="16.5" hidden="false" customHeight="true" outlineLevel="0" collapsed="false">
      <c r="A45" s="86" t="s">
        <v>83</v>
      </c>
      <c r="B45" s="87" t="s">
        <v>84</v>
      </c>
      <c r="C45" s="30" t="n">
        <v>10948</v>
      </c>
      <c r="D45" s="30" t="n">
        <v>17498</v>
      </c>
      <c r="E45" s="30" t="n">
        <v>46066</v>
      </c>
      <c r="F45" s="30" t="n">
        <v>8667</v>
      </c>
      <c r="G45" s="30" t="n">
        <v>8926</v>
      </c>
      <c r="H45" s="30" t="n">
        <v>6936</v>
      </c>
      <c r="I45" s="30" t="n">
        <v>11594</v>
      </c>
      <c r="J45" s="31" t="n">
        <v>9731</v>
      </c>
      <c r="K45" s="31" t="n">
        <v>1577</v>
      </c>
      <c r="L45" s="31" t="n">
        <v>8623</v>
      </c>
      <c r="M45" s="31" t="n">
        <v>4837</v>
      </c>
      <c r="N45" s="31" t="n">
        <v>6988</v>
      </c>
      <c r="O45" s="31" t="n">
        <v>6546</v>
      </c>
      <c r="P45" s="31" t="n">
        <v>9618</v>
      </c>
      <c r="Q45" s="32" t="n">
        <v>6988</v>
      </c>
      <c r="R45" s="33" t="n">
        <f aca="false">IFERROR(AVERAGEIF(C45:I45,"&gt;0"),0)</f>
        <v>15805</v>
      </c>
      <c r="S45" s="34" t="n">
        <f aca="false">IFERROR(AVERAGEIF(J45:P45,"&gt;0"),0)</f>
        <v>6845.71428571429</v>
      </c>
      <c r="T45" s="80" t="n">
        <f aca="false">S45-R45</f>
        <v>-8959.28571428571</v>
      </c>
      <c r="U45" s="81" t="n">
        <f aca="false">IFERROR(S45/R45,"n/a")</f>
        <v>0.433135987707326</v>
      </c>
      <c r="V45" s="69" t="n">
        <f aca="false">IFERROR(S45/$C$3,0)</f>
        <v>1.98282229898101E-005</v>
      </c>
      <c r="W45" s="69" t="n">
        <f aca="false">IFERROR(T45/$D$4,0)</f>
        <v>-6.11560244679485E-005</v>
      </c>
      <c r="X45" s="73" t="n">
        <f aca="false">IFERROR((V45+W45)/2,0)</f>
        <v>-2.06639007390692E-005</v>
      </c>
      <c r="Y45" s="82"/>
      <c r="Z45" s="41" t="n">
        <f aca="false">IFERROR(POWER(P45/C45,1/13)-1,"n/a")</f>
        <v>-0.00991364403427675</v>
      </c>
      <c r="AA45" s="41" t="n">
        <f aca="false">IFERROR(POWER(P45/J45,1/6)-1,"n/a")</f>
        <v>-0.00194482686603903</v>
      </c>
      <c r="AB45" s="57" t="n">
        <f aca="false">IFERROR(AA45-Z45,"n/a")</f>
        <v>0.00796881716823772</v>
      </c>
      <c r="AC45" s="44" t="n">
        <f aca="false">IFERROR(SLOPE(C45:P45,{1,2,3,4,5,6,7,8,9,10,11,12,13,14})/AVERAGEIF(C45:P45,"&gt;0"),"n/a")</f>
        <v>-0.103963730130045</v>
      </c>
      <c r="AD45" s="43" t="n">
        <f aca="false">IFERROR(SLOPE(J45:P45,{1,2,3,4,5,6,7})/AVERAGEIF(J45:P45,"&gt;0"),"n/a")</f>
        <v>0.0415484140233723</v>
      </c>
      <c r="AE45" s="46" t="n">
        <f aca="false">IFERROR(J45/I45,"n/a")</f>
        <v>0.839313437985165</v>
      </c>
      <c r="AF45" s="46" t="n">
        <f aca="false">IFERROR(J45/H45,"n/a")</f>
        <v>1.40297001153403</v>
      </c>
      <c r="AG45" s="56" t="n">
        <v>1.12732331663884</v>
      </c>
      <c r="AH45" s="47" t="s">
        <v>136</v>
      </c>
      <c r="AI45" s="48" t="n">
        <v>0.05</v>
      </c>
      <c r="AJ45" s="49" t="s">
        <v>137</v>
      </c>
    </row>
    <row r="46" customFormat="false" ht="16.5" hidden="false" customHeight="true" outlineLevel="0" collapsed="false">
      <c r="A46" s="86" t="s">
        <v>192</v>
      </c>
      <c r="B46" s="87" t="s">
        <v>193</v>
      </c>
      <c r="C46" s="50" t="s">
        <v>89</v>
      </c>
      <c r="D46" s="30" t="n">
        <v>5863</v>
      </c>
      <c r="E46" s="30" t="n">
        <v>92</v>
      </c>
      <c r="F46" s="30" t="n">
        <v>3606</v>
      </c>
      <c r="G46" s="30" t="n">
        <v>32073</v>
      </c>
      <c r="H46" s="30" t="n">
        <v>8571</v>
      </c>
      <c r="I46" s="30" t="n">
        <v>9048</v>
      </c>
      <c r="J46" s="31" t="n">
        <v>6242</v>
      </c>
      <c r="K46" s="31" t="n">
        <v>81</v>
      </c>
      <c r="L46" s="31" t="n">
        <v>2967</v>
      </c>
      <c r="M46" s="31" t="n">
        <v>3220</v>
      </c>
      <c r="N46" s="50" t="s">
        <v>89</v>
      </c>
      <c r="O46" s="50" t="s">
        <v>89</v>
      </c>
      <c r="P46" s="31" t="n">
        <v>6507</v>
      </c>
      <c r="Q46" s="50" t="s">
        <v>89</v>
      </c>
      <c r="R46" s="33" t="n">
        <f aca="false">IFERROR(AVERAGEIF(C46:I46,"&gt;0"),0)</f>
        <v>9875.5</v>
      </c>
      <c r="S46" s="34" t="n">
        <f aca="false">IFERROR(AVERAGEIF(J46:P46,"&gt;0"),0)</f>
        <v>3803.4</v>
      </c>
      <c r="T46" s="80" t="n">
        <f aca="false">S46-R46</f>
        <v>-6072.1</v>
      </c>
      <c r="U46" s="81" t="n">
        <f aca="false">IFERROR(S46/R46,"n/a")</f>
        <v>0.385134929876968</v>
      </c>
      <c r="V46" s="69" t="n">
        <f aca="false">IFERROR(S46/$C$3,0)</f>
        <v>1.10163322878987E-005</v>
      </c>
      <c r="W46" s="69" t="n">
        <f aca="false">IFERROR(T46/$D$4,0)</f>
        <v>-4.14481140588824E-005</v>
      </c>
      <c r="X46" s="73" t="n">
        <f aca="false">IFERROR((V46+W46)/2,0)</f>
        <v>-1.52158908854918E-005</v>
      </c>
      <c r="Y46" s="82"/>
      <c r="Z46" s="40" t="str">
        <f aca="false">IFERROR(POWER(P46/C46,1/13)-1,"n/a")</f>
        <v>n/a</v>
      </c>
      <c r="AA46" s="40" t="n">
        <f aca="false">IFERROR(POWER(P46/J46,1/6)-1,"n/a")</f>
        <v>0.0069537116647953</v>
      </c>
      <c r="AB46" s="42" t="str">
        <f aca="false">IFERROR(AA46-Z46,"n/a")</f>
        <v>n/a</v>
      </c>
      <c r="AC46" s="44" t="n">
        <f aca="false">IFERROR(SLOPE(C46:P46,{1,2,3,4,5,6,7,8,9,10,11,12,13,14})/AVERAGEIF(C46:P46,"&gt;0"),"n/a")</f>
        <v>-0.0564894760766195</v>
      </c>
      <c r="AD46" s="43" t="n">
        <f aca="false">IFERROR(SLOPE(J46:P46,{1,2,3,4,5,6,7})/AVERAGEIF(J46:P46,"&gt;0"),"n/a")</f>
        <v>0.112563138641593</v>
      </c>
      <c r="AE46" s="46" t="n">
        <f aca="false">IFERROR(J46/I46,"n/a")</f>
        <v>0.689876215738285</v>
      </c>
      <c r="AF46" s="46" t="n">
        <f aca="false">IFERROR(J46/H46,"n/a")</f>
        <v>0.728269746820674</v>
      </c>
      <c r="AG46" s="56" t="n">
        <v>1.71083767155703</v>
      </c>
      <c r="AH46" s="47" t="s">
        <v>85</v>
      </c>
      <c r="AI46" s="48" t="n">
        <v>0.04</v>
      </c>
      <c r="AJ46" s="49" t="s">
        <v>86</v>
      </c>
    </row>
    <row r="47" customFormat="false" ht="16.5" hidden="false" customHeight="true" outlineLevel="0" collapsed="false">
      <c r="A47" s="86" t="s">
        <v>246</v>
      </c>
      <c r="B47" s="87" t="s">
        <v>247</v>
      </c>
      <c r="C47" s="50" t="s">
        <v>89</v>
      </c>
      <c r="D47" s="30" t="n">
        <v>17830</v>
      </c>
      <c r="E47" s="30" t="n">
        <v>2545</v>
      </c>
      <c r="F47" s="30" t="n">
        <v>4351</v>
      </c>
      <c r="G47" s="30" t="n">
        <v>1100</v>
      </c>
      <c r="H47" s="50" t="s">
        <v>89</v>
      </c>
      <c r="I47" s="50" t="s">
        <v>89</v>
      </c>
      <c r="J47" s="31" t="n">
        <v>5153</v>
      </c>
      <c r="K47" s="50" t="s">
        <v>89</v>
      </c>
      <c r="L47" s="50" t="s">
        <v>89</v>
      </c>
      <c r="M47" s="50" t="s">
        <v>89</v>
      </c>
      <c r="N47" s="50" t="s">
        <v>89</v>
      </c>
      <c r="O47" s="31" t="n">
        <v>1223</v>
      </c>
      <c r="P47" s="31" t="n">
        <v>3708</v>
      </c>
      <c r="Q47" s="50" t="s">
        <v>89</v>
      </c>
      <c r="R47" s="33" t="n">
        <f aca="false">IFERROR(AVERAGEIF(C47:I47,"&gt;0"),0)</f>
        <v>6456.5</v>
      </c>
      <c r="S47" s="34" t="n">
        <f aca="false">IFERROR(AVERAGEIF(J47:P47,"&gt;0"),0)</f>
        <v>3361.33333333333</v>
      </c>
      <c r="T47" s="80" t="n">
        <f aca="false">S47-R47</f>
        <v>-3095.16666666667</v>
      </c>
      <c r="U47" s="81" t="n">
        <f aca="false">IFERROR(S47/R47,"n/a")</f>
        <v>0.52061230284726</v>
      </c>
      <c r="V47" s="69" t="n">
        <f aca="false">IFERROR(S47/$C$3,0)</f>
        <v>9.73591127159653E-006</v>
      </c>
      <c r="W47" s="69" t="n">
        <f aca="false">IFERROR(T47/$D$4,0)</f>
        <v>-2.11275870014082E-005</v>
      </c>
      <c r="X47" s="73" t="n">
        <f aca="false">IFERROR((V47+W47)/2,0)</f>
        <v>-5.69583786490585E-006</v>
      </c>
      <c r="Y47" s="82"/>
      <c r="Z47" s="41" t="str">
        <f aca="false">IFERROR(POWER(P47/C47,1/13)-1,"n/a")</f>
        <v>n/a</v>
      </c>
      <c r="AA47" s="41" t="n">
        <f aca="false">IFERROR(POWER(P47/J47,1/6)-1,"n/a")</f>
        <v>-0.0533707263498039</v>
      </c>
      <c r="AB47" s="57" t="str">
        <f aca="false">IFERROR(AA47-Z47,"n/a")</f>
        <v>n/a</v>
      </c>
      <c r="AC47" s="44" t="n">
        <f aca="false">IFERROR(SLOPE(C47:P47,{1,2,3,4,5,6,7,8,9,10,11,12,13,14})/AVERAGEIF(C47:P47,"&gt;0"),"n/a")</f>
        <v>-0.106009468114731</v>
      </c>
      <c r="AD47" s="44" t="n">
        <f aca="false">IFERROR(SLOPE(J47:P47,{1,2,3,4,5,6,7})/AVERAGEIF(J47:P47,"&gt;0"),"n/a")</f>
        <v>-0.123966743867641</v>
      </c>
      <c r="AE47" s="46" t="str">
        <f aca="false">IFERROR(J47/I47,"n/a")</f>
        <v>n/a</v>
      </c>
      <c r="AF47" s="46" t="str">
        <f aca="false">IFERROR(J47/H47,"n/a")</f>
        <v>n/a</v>
      </c>
      <c r="AG47" s="72" t="n">
        <v>0.733488694962317</v>
      </c>
      <c r="AH47" s="74" t="s">
        <v>162</v>
      </c>
      <c r="AI47" s="75" t="s">
        <v>117</v>
      </c>
      <c r="AJ47" s="75" t="s">
        <v>89</v>
      </c>
    </row>
    <row r="48" customFormat="false" ht="16.5" hidden="false" customHeight="true" outlineLevel="0" collapsed="false">
      <c r="A48" s="86" t="s">
        <v>304</v>
      </c>
      <c r="B48" s="87" t="s">
        <v>305</v>
      </c>
      <c r="C48" s="50" t="s">
        <v>89</v>
      </c>
      <c r="D48" s="50" t="s">
        <v>89</v>
      </c>
      <c r="E48" s="50" t="s">
        <v>89</v>
      </c>
      <c r="F48" s="50" t="s">
        <v>89</v>
      </c>
      <c r="G48" s="50" t="s">
        <v>89</v>
      </c>
      <c r="H48" s="30" t="n">
        <v>4640</v>
      </c>
      <c r="I48" s="30" t="n">
        <v>5781</v>
      </c>
      <c r="J48" s="50" t="s">
        <v>89</v>
      </c>
      <c r="K48" s="50" t="s">
        <v>89</v>
      </c>
      <c r="L48" s="50" t="s">
        <v>89</v>
      </c>
      <c r="M48" s="31" t="n">
        <v>317</v>
      </c>
      <c r="N48" s="31" t="n">
        <v>312</v>
      </c>
      <c r="O48" s="31" t="n">
        <v>6247</v>
      </c>
      <c r="P48" s="31" t="n">
        <v>4415</v>
      </c>
      <c r="Q48" s="32" t="n">
        <v>312</v>
      </c>
      <c r="R48" s="33" t="n">
        <f aca="false">IFERROR(AVERAGEIF(C48:I48,"&gt;0"),0)</f>
        <v>5210.5</v>
      </c>
      <c r="S48" s="34" t="n">
        <f aca="false">IFERROR(AVERAGEIF(J48:P48,"&gt;0"),0)</f>
        <v>2822.75</v>
      </c>
      <c r="T48" s="80" t="n">
        <f aca="false">S48-R48</f>
        <v>-2387.75</v>
      </c>
      <c r="U48" s="81" t="n">
        <f aca="false">IFERROR(S48/R48,"n/a")</f>
        <v>0.541742635063814</v>
      </c>
      <c r="V48" s="69" t="n">
        <f aca="false">IFERROR(S48/$C$3,0)</f>
        <v>8.17593520683234E-006</v>
      </c>
      <c r="W48" s="69" t="n">
        <f aca="false">IFERROR(T48/$D$4,0)</f>
        <v>-1.62987655578954E-005</v>
      </c>
      <c r="X48" s="73" t="n">
        <f aca="false">IFERROR((V48+W48)/2,0)</f>
        <v>-4.06141517553151E-006</v>
      </c>
      <c r="Y48" s="82"/>
      <c r="Z48" s="41" t="str">
        <f aca="false">IFERROR(POWER(P48/C48,1/13)-1,"n/a")</f>
        <v>n/a</v>
      </c>
      <c r="AA48" s="59" t="str">
        <f aca="false">IFERROR(POWER(P48/J48,1/6)-1,"n/a")</f>
        <v>n/a</v>
      </c>
      <c r="AB48" s="70" t="str">
        <f aca="false">IFERROR(AA48-Z48,"n/a")</f>
        <v>n/a</v>
      </c>
      <c r="AC48" s="43" t="n">
        <f aca="false">IFERROR(SLOPE(C48:P48,{1,2,3,4,5,6,7,8,9,10,11,12,13,14})/AVERAGEIF(C48:P48,"&gt;0"),"n/a")</f>
        <v>-0.0486418639246827</v>
      </c>
      <c r="AD48" s="43" t="n">
        <f aca="false">IFERROR(SLOPE(J48:P48,{1,2,3,4,5,6,7})/AVERAGEIF(J48:P48,"&gt;0"),"n/a")</f>
        <v>0.645788681250554</v>
      </c>
      <c r="AE48" s="46" t="str">
        <f aca="false">IFERROR(J48/I48,"n/a")</f>
        <v>n/a</v>
      </c>
      <c r="AF48" s="46" t="str">
        <f aca="false">IFERROR(J48/H48,"n/a")</f>
        <v>n/a</v>
      </c>
      <c r="AG48" s="56" t="n">
        <v>1.29589938889381</v>
      </c>
      <c r="AH48" s="47" t="s">
        <v>144</v>
      </c>
      <c r="AI48" s="48" t="n">
        <v>0.03</v>
      </c>
      <c r="AJ48" s="49" t="s">
        <v>145</v>
      </c>
    </row>
    <row r="49" customFormat="false" ht="16.5" hidden="false" customHeight="true" outlineLevel="0" collapsed="false">
      <c r="A49" s="86" t="s">
        <v>310</v>
      </c>
      <c r="B49" s="87" t="s">
        <v>311</v>
      </c>
      <c r="C49" s="50" t="s">
        <v>89</v>
      </c>
      <c r="D49" s="50" t="s">
        <v>89</v>
      </c>
      <c r="E49" s="30" t="n">
        <v>6036</v>
      </c>
      <c r="F49" s="30" t="n">
        <v>532</v>
      </c>
      <c r="G49" s="30" t="n">
        <v>495</v>
      </c>
      <c r="H49" s="30" t="n">
        <v>38</v>
      </c>
      <c r="I49" s="50" t="s">
        <v>89</v>
      </c>
      <c r="J49" s="31" t="n">
        <v>1167</v>
      </c>
      <c r="K49" s="31" t="n">
        <v>269</v>
      </c>
      <c r="L49" s="50" t="s">
        <v>89</v>
      </c>
      <c r="M49" s="50" t="s">
        <v>89</v>
      </c>
      <c r="N49" s="50" t="s">
        <v>89</v>
      </c>
      <c r="O49" s="31" t="n">
        <v>637</v>
      </c>
      <c r="P49" s="50" t="s">
        <v>89</v>
      </c>
      <c r="Q49" s="50" t="s">
        <v>89</v>
      </c>
      <c r="R49" s="33" t="n">
        <f aca="false">IFERROR(AVERAGEIF(C49:I49,"&gt;0"),0)</f>
        <v>1775.25</v>
      </c>
      <c r="S49" s="34" t="n">
        <f aca="false">IFERROR(AVERAGEIF(J49:P49,"&gt;0"),0)</f>
        <v>691</v>
      </c>
      <c r="T49" s="80" t="n">
        <f aca="false">S49-R49</f>
        <v>-1084.25</v>
      </c>
      <c r="U49" s="81" t="n">
        <f aca="false">IFERROR(S49/R49,"n/a")</f>
        <v>0.389240951978595</v>
      </c>
      <c r="V49" s="69" t="n">
        <f aca="false">IFERROR(S49/$C$3,0)</f>
        <v>2.00144229135458E-006</v>
      </c>
      <c r="W49" s="69" t="n">
        <f aca="false">IFERROR(T49/$D$4,0)</f>
        <v>-7.40108326087239E-006</v>
      </c>
      <c r="X49" s="73" t="n">
        <f aca="false">IFERROR((V49+W49)/2,0)</f>
        <v>-2.6998204847589E-006</v>
      </c>
      <c r="Y49" s="82"/>
      <c r="Z49" s="41" t="str">
        <f aca="false">IFERROR(POWER(P49/C49,1/13)-1,"n/a")</f>
        <v>n/a</v>
      </c>
      <c r="AA49" s="41" t="str">
        <f aca="false">IFERROR(POWER(P49/J49,1/6)-1,"n/a")</f>
        <v>n/a</v>
      </c>
      <c r="AB49" s="57" t="str">
        <f aca="false">IFERROR(AA49-Z49,"n/a")</f>
        <v>n/a</v>
      </c>
      <c r="AC49" s="44" t="n">
        <f aca="false">IFERROR(SLOPE(C49:P49,{1,2,3,4,5,6,7,8,9,10,11,12,13,14})/AVERAGEIF(C49:P49,"&gt;0"),"n/a")</f>
        <v>-0.214621045099404</v>
      </c>
      <c r="AD49" s="44" t="n">
        <f aca="false">IFERROR(SLOPE(J49:P49,{1,2,3,4,5,6,7})/AVERAGEIF(J49:P49,"&gt;0"),"n/a")</f>
        <v>-0.071531941285921</v>
      </c>
      <c r="AE49" s="46" t="str">
        <f aca="false">IFERROR(J49/I49,"n/a")</f>
        <v>n/a</v>
      </c>
      <c r="AF49" s="55" t="n">
        <f aca="false">IFERROR(J49/H49,"n/a")</f>
        <v>30.7105263157895</v>
      </c>
      <c r="AG49" s="46" t="n">
        <v>0.921852387843705</v>
      </c>
      <c r="AH49" s="47" t="s">
        <v>148</v>
      </c>
      <c r="AI49" s="48" t="n">
        <v>0.06</v>
      </c>
      <c r="AJ49" s="49" t="s">
        <v>149</v>
      </c>
    </row>
    <row r="50" customFormat="false" ht="16.5" hidden="false" customHeight="true" outlineLevel="0" collapsed="false">
      <c r="A50" s="86" t="s">
        <v>306</v>
      </c>
      <c r="B50" s="87" t="s">
        <v>307</v>
      </c>
      <c r="C50" s="30" t="n">
        <v>939</v>
      </c>
      <c r="D50" s="50" t="s">
        <v>89</v>
      </c>
      <c r="E50" s="30" t="n">
        <v>257</v>
      </c>
      <c r="F50" s="30" t="n">
        <v>290</v>
      </c>
      <c r="G50" s="50" t="s">
        <v>89</v>
      </c>
      <c r="H50" s="50" t="s">
        <v>89</v>
      </c>
      <c r="I50" s="30" t="n">
        <v>53</v>
      </c>
      <c r="J50" s="31" t="n">
        <v>96</v>
      </c>
      <c r="K50" s="31" t="n">
        <v>102</v>
      </c>
      <c r="L50" s="31" t="n">
        <v>145</v>
      </c>
      <c r="M50" s="31" t="n">
        <v>75</v>
      </c>
      <c r="N50" s="31" t="n">
        <v>402</v>
      </c>
      <c r="O50" s="31" t="n">
        <v>575</v>
      </c>
      <c r="P50" s="31" t="n">
        <v>527</v>
      </c>
      <c r="Q50" s="32" t="n">
        <v>402</v>
      </c>
      <c r="R50" s="33" t="n">
        <f aca="false">IFERROR(AVERAGEIF(C50:I50,"&gt;0"),0)</f>
        <v>384.75</v>
      </c>
      <c r="S50" s="34" t="n">
        <f aca="false">IFERROR(AVERAGEIF(J50:P50,"&gt;0"),0)</f>
        <v>274.571428571429</v>
      </c>
      <c r="T50" s="80" t="n">
        <f aca="false">S50-R50</f>
        <v>-110.178571428571</v>
      </c>
      <c r="U50" s="81" t="n">
        <f aca="false">IFERROR(S50/R50,"n/a")</f>
        <v>0.713635941706117</v>
      </c>
      <c r="V50" s="69" t="n">
        <f aca="false">IFERROR(S50/$C$3,0)</f>
        <v>7.95280563155573E-007</v>
      </c>
      <c r="W50" s="69" t="n">
        <f aca="false">IFERROR(T50/$D$4,0)</f>
        <v>-7.52078192950734E-007</v>
      </c>
      <c r="X50" s="73" t="n">
        <f aca="false">IFERROR((V50+W50)/2,0)</f>
        <v>2.16011851024194E-008</v>
      </c>
      <c r="Y50" s="82"/>
      <c r="Z50" s="41" t="n">
        <f aca="false">IFERROR(POWER(P50/C50,1/13)-1,"n/a")</f>
        <v>-0.0434592786725656</v>
      </c>
      <c r="AA50" s="59" t="n">
        <f aca="false">IFERROR(POWER(P50/J50,1/6)-1,"n/a")</f>
        <v>0.328178860609341</v>
      </c>
      <c r="AB50" s="70" t="n">
        <f aca="false">IFERROR(AA50-Z50,"n/a")</f>
        <v>0.371638139281906</v>
      </c>
      <c r="AC50" s="44" t="n">
        <f aca="false">IFERROR(SLOPE(C50:P50,{1,2,3,4,5,6,7,8,9,10,11,12,13,14})/AVERAGEIF(C50:P50,"&gt;0"),"n/a")</f>
        <v>-0.03639649752835</v>
      </c>
      <c r="AD50" s="43" t="n">
        <f aca="false">IFERROR(SLOPE(J50:P50,{1,2,3,4,5,6,7})/AVERAGEIF(J50:P50,"&gt;0"),"n/a")</f>
        <v>0.324661810613944</v>
      </c>
      <c r="AE50" s="71" t="n">
        <f aca="false">IFERROR(J50/I50,"n/a")</f>
        <v>1.81132075471698</v>
      </c>
      <c r="AF50" s="46" t="str">
        <f aca="false">IFERROR(J50/H50,"n/a")</f>
        <v>n/a</v>
      </c>
      <c r="AG50" s="56" t="n">
        <v>1.82587582379466</v>
      </c>
      <c r="AH50" s="47" t="s">
        <v>144</v>
      </c>
      <c r="AI50" s="48" t="n">
        <v>0.03</v>
      </c>
      <c r="AJ50" s="49" t="s">
        <v>145</v>
      </c>
    </row>
    <row r="51" customFormat="false" ht="16.5" hidden="false" customHeight="true" outlineLevel="0" collapsed="false">
      <c r="A51" s="86" t="s">
        <v>204</v>
      </c>
      <c r="B51" s="87" t="s">
        <v>205</v>
      </c>
      <c r="C51" s="30" t="n">
        <v>136</v>
      </c>
      <c r="D51" s="30" t="n">
        <v>1</v>
      </c>
      <c r="E51" s="30" t="n">
        <v>118</v>
      </c>
      <c r="F51" s="30" t="n">
        <v>181</v>
      </c>
      <c r="G51" s="30" t="n">
        <v>1058</v>
      </c>
      <c r="H51" s="30" t="n">
        <v>900</v>
      </c>
      <c r="I51" s="30" t="n">
        <v>267</v>
      </c>
      <c r="J51" s="31" t="n">
        <v>452</v>
      </c>
      <c r="K51" s="31" t="n">
        <v>71</v>
      </c>
      <c r="L51" s="31" t="n">
        <v>138</v>
      </c>
      <c r="M51" s="31" t="n">
        <v>100</v>
      </c>
      <c r="N51" s="31" t="n">
        <v>37</v>
      </c>
      <c r="O51" s="31" t="n">
        <v>68</v>
      </c>
      <c r="P51" s="31" t="n">
        <v>548</v>
      </c>
      <c r="Q51" s="32" t="n">
        <v>37</v>
      </c>
      <c r="R51" s="33" t="n">
        <f aca="false">IFERROR(AVERAGEIF(C51:I51,"&gt;0"),0)</f>
        <v>380.142857142857</v>
      </c>
      <c r="S51" s="34" t="n">
        <f aca="false">IFERROR(AVERAGEIF(J51:P51,"&gt;0"),0)</f>
        <v>202</v>
      </c>
      <c r="T51" s="80" t="n">
        <f aca="false">S51-R51</f>
        <v>-178.142857142857</v>
      </c>
      <c r="U51" s="81" t="n">
        <f aca="false">IFERROR(S51/R51,"n/a")</f>
        <v>0.531379180759113</v>
      </c>
      <c r="V51" s="69" t="n">
        <f aca="false">IFERROR(S51/$C$3,0)</f>
        <v>5.85081538138387E-007</v>
      </c>
      <c r="W51" s="69" t="n">
        <f aca="false">IFERROR(T51/$D$4,0)</f>
        <v>-1.21600195346459E-006</v>
      </c>
      <c r="X51" s="73" t="n">
        <f aca="false">IFERROR((V51+W51)/2,0)</f>
        <v>-3.15460207663101E-007</v>
      </c>
      <c r="Y51" s="82"/>
      <c r="Z51" s="53" t="n">
        <f aca="false">IFERROR(POWER(P51/C51,1/13)-1,"n/a")</f>
        <v>0.11315861049554</v>
      </c>
      <c r="AA51" s="40" t="n">
        <f aca="false">IFERROR(POWER(P51/J51,1/6)-1,"n/a")</f>
        <v>0.0326195759298646</v>
      </c>
      <c r="AB51" s="42" t="n">
        <f aca="false">IFERROR(AA51-Z51,"n/a")</f>
        <v>-0.0805390345656754</v>
      </c>
      <c r="AC51" s="44" t="n">
        <f aca="false">IFERROR(SLOPE(C51:P51,{1,2,3,4,5,6,7,8,9,10,11,12,13,14})/AVERAGEIF(C51:P51,"&gt;0"),"n/a")</f>
        <v>-0.0158942897593204</v>
      </c>
      <c r="AD51" s="43" t="n">
        <f aca="false">IFERROR(SLOPE(J51:P51,{1,2,3,4,5,6,7})/AVERAGEIF(J51:P51,"&gt;0"),"n/a")</f>
        <v>0.032001414427157</v>
      </c>
      <c r="AE51" s="71" t="n">
        <f aca="false">IFERROR(J51/I51,"n/a")</f>
        <v>1.69288389513109</v>
      </c>
      <c r="AF51" s="46" t="n">
        <f aca="false">IFERROR(J51/H51,"n/a")</f>
        <v>0.502222222222222</v>
      </c>
      <c r="AG51" s="56" t="n">
        <v>1.07755775577558</v>
      </c>
      <c r="AH51" s="47" t="s">
        <v>337</v>
      </c>
      <c r="AI51" s="48" t="n">
        <v>0.0235</v>
      </c>
      <c r="AJ51" s="49" t="s">
        <v>338</v>
      </c>
    </row>
    <row r="52" customFormat="false" ht="16.5" hidden="false" customHeight="true" outlineLevel="0" collapsed="false">
      <c r="A52" s="86" t="s">
        <v>200</v>
      </c>
      <c r="B52" s="87" t="s">
        <v>201</v>
      </c>
      <c r="C52" s="30" t="n">
        <v>23</v>
      </c>
      <c r="D52" s="30" t="n">
        <v>669</v>
      </c>
      <c r="E52" s="50" t="s">
        <v>89</v>
      </c>
      <c r="F52" s="30" t="n">
        <v>2657</v>
      </c>
      <c r="G52" s="50" t="s">
        <v>89</v>
      </c>
      <c r="H52" s="50" t="s">
        <v>89</v>
      </c>
      <c r="I52" s="30" t="n">
        <v>5315</v>
      </c>
      <c r="J52" s="50" t="s">
        <v>89</v>
      </c>
      <c r="K52" s="31" t="n">
        <v>55</v>
      </c>
      <c r="L52" s="31" t="n">
        <v>20</v>
      </c>
      <c r="M52" s="50" t="s">
        <v>89</v>
      </c>
      <c r="N52" s="31" t="n">
        <v>88</v>
      </c>
      <c r="O52" s="31" t="n">
        <v>25</v>
      </c>
      <c r="P52" s="50" t="s">
        <v>89</v>
      </c>
      <c r="Q52" s="32" t="n">
        <v>88</v>
      </c>
      <c r="R52" s="33" t="n">
        <f aca="false">IFERROR(AVERAGEIF(C52:I52,"&gt;0"),0)</f>
        <v>2166</v>
      </c>
      <c r="S52" s="34" t="n">
        <f aca="false">IFERROR(AVERAGEIF(J52:P52,"&gt;0"),0)</f>
        <v>47</v>
      </c>
      <c r="T52" s="80" t="n">
        <f aca="false">S52-R52</f>
        <v>-2119</v>
      </c>
      <c r="U52" s="81" t="n">
        <f aca="false">IFERROR(S52/R52,"n/a")</f>
        <v>0.0216989843028624</v>
      </c>
      <c r="V52" s="69" t="n">
        <f aca="false">IFERROR(S52/$C$3,0)</f>
        <v>1.36132833131209E-007</v>
      </c>
      <c r="W52" s="69" t="n">
        <f aca="false">IFERROR(T52/$D$4,0)</f>
        <v>-1.44642798522376E-005</v>
      </c>
      <c r="X52" s="73" t="n">
        <f aca="false">IFERROR((V52+W52)/2,0)</f>
        <v>-7.16407350955319E-006</v>
      </c>
      <c r="Y52" s="82"/>
      <c r="Z52" s="40" t="str">
        <f aca="false">IFERROR(POWER(P52/C52,1/13)-1,"n/a")</f>
        <v>n/a</v>
      </c>
      <c r="AA52" s="41" t="str">
        <f aca="false">IFERROR(POWER(P52/J52,1/6)-1,"n/a")</f>
        <v>n/a</v>
      </c>
      <c r="AB52" s="42" t="str">
        <f aca="false">IFERROR(AA52-Z52,"n/a")</f>
        <v>n/a</v>
      </c>
      <c r="AC52" s="44" t="n">
        <f aca="false">IFERROR(SLOPE(C52:P52,{1,2,3,4,5,6,7,8,9,10,11,12,13,14})/AVERAGEIF(C52:P52,"&gt;0"),"n/a")</f>
        <v>-0.0812871675292184</v>
      </c>
      <c r="AD52" s="44" t="n">
        <f aca="false">IFERROR(SLOPE(J52:P52,{1,2,3,4,5,6,7})/AVERAGEIF(J52:P52,"&gt;0"),"n/a")</f>
        <v>0.0170212765957447</v>
      </c>
      <c r="AE52" s="46" t="str">
        <f aca="false">IFERROR(J52/I52,"n/a")</f>
        <v>n/a</v>
      </c>
      <c r="AF52" s="46" t="str">
        <f aca="false">IFERROR(J52/H52,"n/a")</f>
        <v>n/a</v>
      </c>
      <c r="AG52" s="56" t="n">
        <v>1.20212765957447</v>
      </c>
      <c r="AH52" s="47" t="s">
        <v>346</v>
      </c>
      <c r="AI52" s="48" t="n">
        <v>0.037</v>
      </c>
      <c r="AJ52" s="49" t="s">
        <v>347</v>
      </c>
    </row>
    <row r="53" customFormat="false" ht="16.5" hidden="false" customHeight="true" outlineLevel="0" collapsed="false">
      <c r="A53" s="86" t="s">
        <v>124</v>
      </c>
      <c r="B53" s="87" t="s">
        <v>125</v>
      </c>
      <c r="C53" s="30" t="n">
        <v>123</v>
      </c>
      <c r="D53" s="30" t="n">
        <v>135</v>
      </c>
      <c r="E53" s="30" t="n">
        <v>48</v>
      </c>
      <c r="F53" s="50" t="s">
        <v>89</v>
      </c>
      <c r="G53" s="50" t="s">
        <v>89</v>
      </c>
      <c r="H53" s="50" t="s">
        <v>89</v>
      </c>
      <c r="I53" s="50" t="s">
        <v>89</v>
      </c>
      <c r="J53" s="50" t="s">
        <v>89</v>
      </c>
      <c r="K53" s="31" t="n">
        <v>20</v>
      </c>
      <c r="L53" s="50" t="s">
        <v>89</v>
      </c>
      <c r="M53" s="31" t="n">
        <v>13</v>
      </c>
      <c r="N53" s="31" t="n">
        <v>6</v>
      </c>
      <c r="O53" s="50" t="s">
        <v>89</v>
      </c>
      <c r="P53" s="31" t="n">
        <v>107</v>
      </c>
      <c r="Q53" s="32" t="n">
        <v>6</v>
      </c>
      <c r="R53" s="33" t="n">
        <f aca="false">IFERROR(AVERAGEIF(C53:I53,"&gt;0"),0)</f>
        <v>102</v>
      </c>
      <c r="S53" s="34" t="n">
        <f aca="false">IFERROR(AVERAGEIF(J53:P53,"&gt;0"),0)</f>
        <v>36.5</v>
      </c>
      <c r="T53" s="80" t="n">
        <f aca="false">S53-R53</f>
        <v>-65.5</v>
      </c>
      <c r="U53" s="81" t="n">
        <f aca="false">IFERROR(S53/R53,"n/a")</f>
        <v>0.357843137254902</v>
      </c>
      <c r="V53" s="69" t="n">
        <f aca="false">IFERROR(S53/$C$3,0)</f>
        <v>1.05720178921045E-007</v>
      </c>
      <c r="W53" s="69" t="n">
        <f aca="false">IFERROR(T53/$D$4,0)</f>
        <v>-4.47102562681246E-007</v>
      </c>
      <c r="X53" s="73" t="n">
        <f aca="false">IFERROR((V53+W53)/2,0)</f>
        <v>-1.70691191880101E-007</v>
      </c>
      <c r="Y53" s="82"/>
      <c r="Z53" s="41" t="n">
        <f aca="false">IFERROR(POWER(P53/C53,1/13)-1,"n/a")</f>
        <v>-0.0106624047001878</v>
      </c>
      <c r="AA53" s="59" t="str">
        <f aca="false">IFERROR(POWER(P53/J53,1/6)-1,"n/a")</f>
        <v>n/a</v>
      </c>
      <c r="AB53" s="70" t="str">
        <f aca="false">IFERROR(AA53-Z53,"n/a")</f>
        <v>n/a</v>
      </c>
      <c r="AC53" s="44" t="n">
        <f aca="false">IFERROR(SLOPE(C53:P53,{1,2,3,4,5,6,7,8,9,10,11,12,13,14})/AVERAGEIF(C53:P53,"&gt;0"),"n/a")</f>
        <v>-0.0846555525759066</v>
      </c>
      <c r="AD53" s="43" t="n">
        <f aca="false">IFERROR(SLOPE(J53:P53,{1,2,3,4,5,6,7})/AVERAGEIF(J53:P53,"&gt;0"),"n/a")</f>
        <v>0.45100105374078</v>
      </c>
      <c r="AE53" s="46" t="str">
        <f aca="false">IFERROR(J53/I53,"n/a")</f>
        <v>n/a</v>
      </c>
      <c r="AF53" s="46" t="str">
        <f aca="false">IFERROR(J53/H53,"n/a")</f>
        <v>n/a</v>
      </c>
      <c r="AG53" s="56" t="n">
        <v>1.54794520547945</v>
      </c>
      <c r="AH53" s="47" t="s">
        <v>152</v>
      </c>
      <c r="AI53" s="60" t="n">
        <v>0.25</v>
      </c>
      <c r="AJ53" s="61" t="s">
        <v>153</v>
      </c>
    </row>
    <row r="54" customFormat="false" ht="16.5" hidden="false" customHeight="true" outlineLevel="0" collapsed="false">
      <c r="A54" s="86" t="s">
        <v>324</v>
      </c>
      <c r="B54" s="87" t="s">
        <v>325</v>
      </c>
      <c r="C54" s="50" t="s">
        <v>89</v>
      </c>
      <c r="D54" s="30" t="n">
        <v>713</v>
      </c>
      <c r="E54" s="50" t="s">
        <v>89</v>
      </c>
      <c r="F54" s="50" t="s">
        <v>89</v>
      </c>
      <c r="G54" s="50" t="s">
        <v>89</v>
      </c>
      <c r="H54" s="50" t="s">
        <v>89</v>
      </c>
      <c r="I54" s="50" t="s">
        <v>89</v>
      </c>
      <c r="J54" s="50" t="s">
        <v>89</v>
      </c>
      <c r="K54" s="50" t="s">
        <v>89</v>
      </c>
      <c r="L54" s="50" t="s">
        <v>89</v>
      </c>
      <c r="M54" s="31" t="n">
        <v>7</v>
      </c>
      <c r="N54" s="50" t="s">
        <v>89</v>
      </c>
      <c r="O54" s="31" t="n">
        <v>33</v>
      </c>
      <c r="P54" s="50" t="s">
        <v>89</v>
      </c>
      <c r="Q54" s="50" t="s">
        <v>89</v>
      </c>
      <c r="R54" s="33" t="n">
        <f aca="false">IFERROR(AVERAGEIF(C54:I54,"&gt;0"),0)</f>
        <v>713</v>
      </c>
      <c r="S54" s="34" t="n">
        <f aca="false">IFERROR(AVERAGEIF(J54:P54,"&gt;0"),0)</f>
        <v>20</v>
      </c>
      <c r="T54" s="80" t="n">
        <f aca="false">S54-R54</f>
        <v>-693</v>
      </c>
      <c r="U54" s="81" t="n">
        <f aca="false">IFERROR(S54/R54,"n/a")</f>
        <v>0.0280504908835905</v>
      </c>
      <c r="V54" s="69" t="n">
        <f aca="false">IFERROR(S54/$C$3,0)</f>
        <v>5.79288651622165E-008</v>
      </c>
      <c r="W54" s="69" t="n">
        <f aca="false">IFERROR(T54/$D$4,0)</f>
        <v>-4.73041337310082E-006</v>
      </c>
      <c r="X54" s="73" t="n">
        <f aca="false">IFERROR((V54+W54)/2,0)</f>
        <v>-2.3362422539693E-006</v>
      </c>
      <c r="Y54" s="82"/>
      <c r="Z54" s="41" t="str">
        <f aca="false">IFERROR(POWER(P54/C54,1/13)-1,"n/a")</f>
        <v>n/a</v>
      </c>
      <c r="AA54" s="59" t="str">
        <f aca="false">IFERROR(POWER(P54/J54,1/6)-1,"n/a")</f>
        <v>n/a</v>
      </c>
      <c r="AB54" s="70" t="str">
        <f aca="false">IFERROR(AA54-Z54,"n/a")</f>
        <v>n/a</v>
      </c>
      <c r="AC54" s="44" t="n">
        <f aca="false">IFERROR(SLOPE(C54:P54,{1,2,3,4,5,6,7,8,9,10,11,12,13,14})/AVERAGEIF(C54:P54,"&gt;0"),"n/a")</f>
        <v>-0.266545468610993</v>
      </c>
      <c r="AD54" s="90" t="n">
        <f aca="false">IFERROR(SLOPE(J54:P54,{1,2,3,4,5,6,7})/AVERAGEIF(J54:P54,"&gt;0"),"n/a")</f>
        <v>0.65</v>
      </c>
      <c r="AE54" s="46" t="str">
        <f aca="false">IFERROR(J54/I54,"n/a")</f>
        <v>n/a</v>
      </c>
      <c r="AF54" s="46" t="str">
        <f aca="false">IFERROR(J54/H54,"n/a")</f>
        <v>n/a</v>
      </c>
      <c r="AG54" s="56" t="n">
        <v>1.65</v>
      </c>
      <c r="AH54" s="47" t="s">
        <v>340</v>
      </c>
      <c r="AI54" s="48" t="n">
        <v>0.02</v>
      </c>
      <c r="AJ54" s="49" t="s">
        <v>341</v>
      </c>
    </row>
    <row r="56" customFormat="false" ht="21.75" hidden="false" customHeight="true" outlineLevel="0" collapsed="false">
      <c r="A56" s="93" t="s">
        <v>348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</row>
    <row r="57" customFormat="false" ht="15" hidden="false" customHeight="true" outlineLevel="0" collapsed="false">
      <c r="A57" s="94" t="s">
        <v>213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</row>
    <row r="58" customFormat="false" ht="16.5" hidden="false" customHeight="true" outlineLevel="0" collapsed="false">
      <c r="A58" s="95" t="s">
        <v>194</v>
      </c>
      <c r="B58" s="96" t="s">
        <v>195</v>
      </c>
      <c r="C58" s="30" t="n">
        <v>2730255</v>
      </c>
      <c r="D58" s="30" t="n">
        <v>1032698</v>
      </c>
      <c r="E58" s="30" t="n">
        <v>1100655</v>
      </c>
      <c r="F58" s="30" t="n">
        <v>755259</v>
      </c>
      <c r="G58" s="30" t="n">
        <v>797636</v>
      </c>
      <c r="H58" s="30" t="n">
        <v>1034436</v>
      </c>
      <c r="I58" s="30" t="n">
        <v>623146</v>
      </c>
      <c r="J58" s="31" t="n">
        <v>1409404</v>
      </c>
      <c r="K58" s="31" t="n">
        <v>595498</v>
      </c>
      <c r="L58" s="31" t="n">
        <v>1136333</v>
      </c>
      <c r="M58" s="31" t="n">
        <v>841010</v>
      </c>
      <c r="N58" s="31" t="n">
        <v>1592274</v>
      </c>
      <c r="O58" s="31" t="n">
        <v>1692288</v>
      </c>
      <c r="P58" s="31" t="n">
        <v>3870947</v>
      </c>
      <c r="Q58" s="32" t="n">
        <v>1592274</v>
      </c>
      <c r="R58" s="33" t="n">
        <f aca="false">IFERROR(AVERAGEIF(C58:I58,"&gt;0"),0)</f>
        <v>1153440.71428571</v>
      </c>
      <c r="S58" s="34" t="n">
        <f aca="false">IFERROR(AVERAGEIF(J58:P58,"&gt;0"),0)</f>
        <v>1591107.71428571</v>
      </c>
      <c r="T58" s="67" t="n">
        <f aca="false">S58-R58</f>
        <v>437667</v>
      </c>
      <c r="U58" s="36" t="n">
        <f aca="false">IFERROR(S58/R58,"n/a")</f>
        <v>1.37944472965048</v>
      </c>
      <c r="V58" s="69" t="n">
        <f aca="false">IFERROR(S58/$C$3,0)</f>
        <v>0.00460855321197099</v>
      </c>
      <c r="W58" s="69" t="n">
        <f aca="false">IFERROR(T58/$D$4,0)</f>
        <v>0.0029875120198628</v>
      </c>
      <c r="X58" s="73" t="n">
        <f aca="false">IFERROR((V58+W58)/2,0)</f>
        <v>0.00379803261591689</v>
      </c>
      <c r="Y58" s="66" t="n">
        <v>0.977546389471212</v>
      </c>
      <c r="Z58" s="40" t="n">
        <f aca="false">IFERROR(POWER(P58/C58,1/13)-1,"n/a")</f>
        <v>0.0272179893629512</v>
      </c>
      <c r="AA58" s="53" t="n">
        <f aca="false">IFERROR(POWER(P58/J58,1/6)-1,"n/a")</f>
        <v>0.183396519308683</v>
      </c>
      <c r="AB58" s="70" t="n">
        <f aca="false">IFERROR(AA58-Z58,"n/a")</f>
        <v>0.156178529945732</v>
      </c>
      <c r="AC58" s="43" t="n">
        <f aca="false">IFERROR(SLOPE(C58:P58,{1,2,3,4,5,6,7,8,9,10,11,12,13,14})/AVERAGEIF(C58:P58,"&gt;0"),"n/a")</f>
        <v>0.0452801613229618</v>
      </c>
      <c r="AD58" s="43" t="n">
        <f aca="false">IFERROR(SLOPE(J58:P58,{1,2,3,4,5,6,7})/AVERAGEIF(J58:P58,"&gt;0"),"n/a")</f>
        <v>0.225228309046869</v>
      </c>
      <c r="AE58" s="83" t="n">
        <f aca="false">IFERROR(J58/I58,"n/a")</f>
        <v>2.2617556720255</v>
      </c>
      <c r="AF58" s="46" t="n">
        <f aca="false">IFERROR(J58/H58,"n/a")</f>
        <v>1.36248545100905</v>
      </c>
      <c r="AG58" s="56" t="n">
        <v>1.49906234835737</v>
      </c>
      <c r="AH58" s="74" t="s">
        <v>116</v>
      </c>
      <c r="AI58" s="75" t="s">
        <v>117</v>
      </c>
      <c r="AJ58" s="75" t="s">
        <v>89</v>
      </c>
    </row>
    <row r="59" customFormat="false" ht="16.5" hidden="false" customHeight="true" outlineLevel="0" collapsed="false">
      <c r="A59" s="95" t="s">
        <v>272</v>
      </c>
      <c r="B59" s="96" t="s">
        <v>273</v>
      </c>
      <c r="C59" s="30" t="n">
        <v>52208</v>
      </c>
      <c r="D59" s="30" t="n">
        <v>44750</v>
      </c>
      <c r="E59" s="30" t="n">
        <v>61960</v>
      </c>
      <c r="F59" s="30" t="n">
        <v>112340</v>
      </c>
      <c r="G59" s="30" t="n">
        <v>222521</v>
      </c>
      <c r="H59" s="30" t="n">
        <v>205688</v>
      </c>
      <c r="I59" s="30" t="n">
        <v>353457</v>
      </c>
      <c r="J59" s="31" t="n">
        <v>717773</v>
      </c>
      <c r="K59" s="31" t="n">
        <v>519035</v>
      </c>
      <c r="L59" s="31" t="n">
        <v>750698</v>
      </c>
      <c r="M59" s="31" t="n">
        <v>713707</v>
      </c>
      <c r="N59" s="31" t="n">
        <v>598128</v>
      </c>
      <c r="O59" s="31" t="n">
        <v>644874</v>
      </c>
      <c r="P59" s="31" t="n">
        <v>1005087</v>
      </c>
      <c r="Q59" s="32" t="n">
        <v>598128</v>
      </c>
      <c r="R59" s="33" t="n">
        <f aca="false">IFERROR(AVERAGEIF(C59:I59,"&gt;0"),0)</f>
        <v>150417.714285714</v>
      </c>
      <c r="S59" s="34" t="n">
        <f aca="false">IFERROR(AVERAGEIF(J59:P59,"&gt;0"),0)</f>
        <v>707043.142857143</v>
      </c>
      <c r="T59" s="67" t="n">
        <f aca="false">S59-R59</f>
        <v>556625.428571429</v>
      </c>
      <c r="U59" s="51" t="n">
        <f aca="false">IFERROR(S59/R59,"n/a")</f>
        <v>4.70053109246251</v>
      </c>
      <c r="V59" s="69" t="n">
        <f aca="false">IFERROR(S59/$C$3,0)</f>
        <v>0.00204791034432206</v>
      </c>
      <c r="W59" s="69" t="n">
        <f aca="false">IFERROR(T59/$D$4,0)</f>
        <v>0.00379952145905088</v>
      </c>
      <c r="X59" s="73" t="n">
        <f aca="false">IFERROR((V59+W59)/2,0)</f>
        <v>0.00292371590168647</v>
      </c>
      <c r="Y59" s="66" t="n">
        <v>0.980491616115801</v>
      </c>
      <c r="Z59" s="59" t="n">
        <f aca="false">IFERROR(POWER(P59/C59,1/13)-1,"n/a")</f>
        <v>0.25546648333527</v>
      </c>
      <c r="AA59" s="53" t="n">
        <f aca="false">IFERROR(POWER(P59/J59,1/6)-1,"n/a")</f>
        <v>0.0577168501286656</v>
      </c>
      <c r="AB59" s="42" t="n">
        <f aca="false">IFERROR(AA59-Z59,"n/a")</f>
        <v>-0.197749633206604</v>
      </c>
      <c r="AC59" s="43" t="n">
        <f aca="false">IFERROR(SLOPE(C59:P59,{1,2,3,4,5,6,7,8,9,10,11,12,13,14})/AVERAGEIF(C59:P59,"&gt;0"),"n/a")</f>
        <v>0.163883373627359</v>
      </c>
      <c r="AD59" s="43" t="n">
        <f aca="false">IFERROR(SLOPE(J59:P59,{1,2,3,4,5,6,7})/AVERAGEIF(J59:P59,"&gt;0"),"n/a")</f>
        <v>0.0485447240843254</v>
      </c>
      <c r="AE59" s="83" t="n">
        <f aca="false">IFERROR(J59/I59,"n/a")</f>
        <v>2.0307222660748</v>
      </c>
      <c r="AF59" s="55" t="n">
        <f aca="false">IFERROR(J59/H59,"n/a")</f>
        <v>3.48962020147019</v>
      </c>
      <c r="AG59" s="56" t="n">
        <v>1.05985470274394</v>
      </c>
      <c r="AH59" s="47" t="s">
        <v>136</v>
      </c>
      <c r="AI59" s="48" t="n">
        <v>0.05</v>
      </c>
      <c r="AJ59" s="49" t="s">
        <v>137</v>
      </c>
    </row>
    <row r="60" customFormat="false" ht="16.5" hidden="false" customHeight="true" outlineLevel="0" collapsed="false">
      <c r="A60" s="95" t="s">
        <v>142</v>
      </c>
      <c r="B60" s="96" t="s">
        <v>143</v>
      </c>
      <c r="C60" s="30" t="n">
        <v>527632</v>
      </c>
      <c r="D60" s="30" t="n">
        <v>408842</v>
      </c>
      <c r="E60" s="30" t="n">
        <v>567596</v>
      </c>
      <c r="F60" s="30" t="n">
        <v>491575</v>
      </c>
      <c r="G60" s="30" t="n">
        <v>226387</v>
      </c>
      <c r="H60" s="30" t="n">
        <v>199000</v>
      </c>
      <c r="I60" s="30" t="n">
        <v>283322</v>
      </c>
      <c r="J60" s="31" t="n">
        <v>376461</v>
      </c>
      <c r="K60" s="31" t="n">
        <v>314464</v>
      </c>
      <c r="L60" s="31" t="n">
        <v>906519</v>
      </c>
      <c r="M60" s="31" t="n">
        <v>718942</v>
      </c>
      <c r="N60" s="31" t="n">
        <v>897133</v>
      </c>
      <c r="O60" s="31" t="n">
        <v>693245</v>
      </c>
      <c r="P60" s="31" t="n">
        <v>1864463</v>
      </c>
      <c r="Q60" s="32" t="n">
        <v>897133</v>
      </c>
      <c r="R60" s="33" t="n">
        <f aca="false">IFERROR(AVERAGEIF(C60:I60,"&gt;0"),0)</f>
        <v>386336.285714286</v>
      </c>
      <c r="S60" s="34" t="n">
        <f aca="false">IFERROR(AVERAGEIF(J60:P60,"&gt;0"),0)</f>
        <v>824461</v>
      </c>
      <c r="T60" s="67" t="n">
        <f aca="false">S60-R60</f>
        <v>438124.714285714</v>
      </c>
      <c r="U60" s="51" t="n">
        <f aca="false">IFERROR(S60/R60,"n/a")</f>
        <v>2.13405012805276</v>
      </c>
      <c r="V60" s="69" t="n">
        <f aca="false">IFERROR(S60/$C$3,0)</f>
        <v>0.00238800450502531</v>
      </c>
      <c r="W60" s="69" t="n">
        <f aca="false">IFERROR(T60/$D$4,0)</f>
        <v>0.0029906363745211</v>
      </c>
      <c r="X60" s="73" t="n">
        <f aca="false">IFERROR((V60+W60)/2,0)</f>
        <v>0.0026893204397732</v>
      </c>
      <c r="Y60" s="66" t="n">
        <v>0.983206019563284</v>
      </c>
      <c r="Z60" s="53" t="n">
        <f aca="false">IFERROR(POWER(P60/C60,1/13)-1,"n/a")</f>
        <v>0.10197304748198</v>
      </c>
      <c r="AA60" s="59" t="n">
        <f aca="false">IFERROR(POWER(P60/J60,1/6)-1,"n/a")</f>
        <v>0.305586436491516</v>
      </c>
      <c r="AB60" s="70" t="n">
        <f aca="false">IFERROR(AA60-Z60,"n/a")</f>
        <v>0.203613389009536</v>
      </c>
      <c r="AC60" s="43" t="n">
        <f aca="false">IFERROR(SLOPE(C60:P60,{1,2,3,4,5,6,7,8,9,10,11,12,13,14})/AVERAGEIF(C60:P60,"&gt;0"),"n/a")</f>
        <v>0.104934322950386</v>
      </c>
      <c r="AD60" s="43" t="n">
        <f aca="false">IFERROR(SLOPE(J60:P60,{1,2,3,4,5,6,7})/AVERAGEIF(J60:P60,"&gt;0"),"n/a")</f>
        <v>0.225783096038329</v>
      </c>
      <c r="AE60" s="45" t="n">
        <f aca="false">IFERROR(J60/I60,"n/a")</f>
        <v>1.32873903191422</v>
      </c>
      <c r="AF60" s="71" t="n">
        <f aca="false">IFERROR(J60/H60,"n/a")</f>
        <v>1.89176381909548</v>
      </c>
      <c r="AG60" s="56" t="n">
        <v>1.39680793471937</v>
      </c>
      <c r="AH60" s="47" t="s">
        <v>104</v>
      </c>
      <c r="AI60" s="48" t="n">
        <v>0.0325</v>
      </c>
      <c r="AJ60" s="49" t="s">
        <v>105</v>
      </c>
    </row>
    <row r="61" customFormat="false" ht="16.5" hidden="false" customHeight="true" outlineLevel="0" collapsed="false">
      <c r="A61" s="95" t="s">
        <v>138</v>
      </c>
      <c r="B61" s="96" t="s">
        <v>139</v>
      </c>
      <c r="C61" s="30" t="n">
        <v>254771</v>
      </c>
      <c r="D61" s="30" t="n">
        <v>331315</v>
      </c>
      <c r="E61" s="30" t="n">
        <v>347840</v>
      </c>
      <c r="F61" s="30" t="n">
        <v>413701</v>
      </c>
      <c r="G61" s="30" t="n">
        <v>384440</v>
      </c>
      <c r="H61" s="30" t="n">
        <v>288869</v>
      </c>
      <c r="I61" s="30" t="n">
        <v>345914</v>
      </c>
      <c r="J61" s="31" t="n">
        <v>339439</v>
      </c>
      <c r="K61" s="31" t="n">
        <v>383465</v>
      </c>
      <c r="L61" s="31" t="n">
        <v>532378</v>
      </c>
      <c r="M61" s="31" t="n">
        <v>645370</v>
      </c>
      <c r="N61" s="31" t="n">
        <v>529294</v>
      </c>
      <c r="O61" s="31" t="n">
        <v>707000</v>
      </c>
      <c r="P61" s="31" t="n">
        <v>1128155</v>
      </c>
      <c r="Q61" s="32" t="n">
        <v>529294</v>
      </c>
      <c r="R61" s="33" t="n">
        <f aca="false">IFERROR(AVERAGEIF(C61:I61,"&gt;0"),0)</f>
        <v>338121.428571429</v>
      </c>
      <c r="S61" s="34" t="n">
        <f aca="false">IFERROR(AVERAGEIF(J61:P61,"&gt;0"),0)</f>
        <v>609300.142857143</v>
      </c>
      <c r="T61" s="67" t="n">
        <f aca="false">S61-R61</f>
        <v>271178.714285714</v>
      </c>
      <c r="U61" s="36" t="n">
        <f aca="false">IFERROR(S61/R61,"n/a")</f>
        <v>1.80201575934259</v>
      </c>
      <c r="V61" s="69" t="n">
        <f aca="false">IFERROR(S61/$C$3,0)</f>
        <v>0.00176480329094453</v>
      </c>
      <c r="W61" s="69" t="n">
        <f aca="false">IFERROR(T61/$D$4,0)</f>
        <v>0.00185106409315646</v>
      </c>
      <c r="X61" s="73" t="n">
        <f aca="false">IFERROR((V61+W61)/2,0)</f>
        <v>0.0018079336920505</v>
      </c>
      <c r="Y61" s="66" t="n">
        <v>0.985032490311886</v>
      </c>
      <c r="Z61" s="53" t="n">
        <f aca="false">IFERROR(POWER(P61/C61,1/13)-1,"n/a")</f>
        <v>0.121267248788915</v>
      </c>
      <c r="AA61" s="59" t="n">
        <f aca="false">IFERROR(POWER(P61/J61,1/6)-1,"n/a")</f>
        <v>0.22161541863791</v>
      </c>
      <c r="AB61" s="70" t="n">
        <f aca="false">IFERROR(AA61-Z61,"n/a")</f>
        <v>0.100348169848995</v>
      </c>
      <c r="AC61" s="43" t="n">
        <f aca="false">IFERROR(SLOPE(C61:P61,{1,2,3,4,5,6,7,8,9,10,11,12,13,14})/AVERAGEIF(C61:P61,"&gt;0"),"n/a")</f>
        <v>0.0916695044246349</v>
      </c>
      <c r="AD61" s="43" t="n">
        <f aca="false">IFERROR(SLOPE(J61:P61,{1,2,3,4,5,6,7})/AVERAGEIF(J61:P61,"&gt;0"),"n/a")</f>
        <v>0.176439784192684</v>
      </c>
      <c r="AE61" s="46" t="n">
        <f aca="false">IFERROR(J61/I61,"n/a")</f>
        <v>0.981281474586169</v>
      </c>
      <c r="AF61" s="46" t="n">
        <f aca="false">IFERROR(J61/H61,"n/a")</f>
        <v>1.17506205234899</v>
      </c>
      <c r="AG61" s="56" t="n">
        <v>1.29353271274623</v>
      </c>
      <c r="AH61" s="47" t="s">
        <v>112</v>
      </c>
      <c r="AI61" s="48" t="n">
        <v>0.035</v>
      </c>
      <c r="AJ61" s="49" t="s">
        <v>113</v>
      </c>
    </row>
    <row r="62" customFormat="false" ht="16.5" hidden="false" customHeight="true" outlineLevel="0" collapsed="false">
      <c r="A62" s="95" t="s">
        <v>110</v>
      </c>
      <c r="B62" s="96" t="s">
        <v>111</v>
      </c>
      <c r="C62" s="30" t="n">
        <v>169609</v>
      </c>
      <c r="D62" s="30" t="n">
        <v>26799</v>
      </c>
      <c r="E62" s="30" t="n">
        <v>120047</v>
      </c>
      <c r="F62" s="30" t="n">
        <v>106183</v>
      </c>
      <c r="G62" s="30" t="n">
        <v>10690</v>
      </c>
      <c r="H62" s="30" t="n">
        <v>200</v>
      </c>
      <c r="I62" s="30" t="n">
        <v>71178</v>
      </c>
      <c r="J62" s="31" t="n">
        <v>206964</v>
      </c>
      <c r="K62" s="31" t="n">
        <v>90763</v>
      </c>
      <c r="L62" s="31" t="n">
        <v>208808</v>
      </c>
      <c r="M62" s="31" t="n">
        <v>547365</v>
      </c>
      <c r="N62" s="31" t="n">
        <v>601941</v>
      </c>
      <c r="O62" s="31" t="n">
        <v>650025</v>
      </c>
      <c r="P62" s="31" t="n">
        <v>402500</v>
      </c>
      <c r="Q62" s="32" t="n">
        <v>601941</v>
      </c>
      <c r="R62" s="33" t="n">
        <f aca="false">IFERROR(AVERAGEIF(C62:I62,"&gt;0"),0)</f>
        <v>72100.8571428571</v>
      </c>
      <c r="S62" s="34" t="n">
        <f aca="false">IFERROR(AVERAGEIF(J62:P62,"&gt;0"),0)</f>
        <v>386909.428571429</v>
      </c>
      <c r="T62" s="67" t="n">
        <f aca="false">S62-R62</f>
        <v>314808.571428571</v>
      </c>
      <c r="U62" s="51" t="n">
        <f aca="false">IFERROR(S62/R62,"n/a")</f>
        <v>5.36622508945802</v>
      </c>
      <c r="V62" s="69" t="n">
        <f aca="false">IFERROR(S62/$C$3,0)</f>
        <v>0.00112066120588523</v>
      </c>
      <c r="W62" s="69" t="n">
        <f aca="false">IFERROR(T62/$D$4,0)</f>
        <v>0.00214888120671354</v>
      </c>
      <c r="X62" s="73" t="n">
        <f aca="false">IFERROR((V62+W62)/2,0)</f>
        <v>0.00163477120629938</v>
      </c>
      <c r="Y62" s="66" t="n">
        <v>0.986679032665856</v>
      </c>
      <c r="Z62" s="53" t="n">
        <f aca="false">IFERROR(POWER(P62/C62,1/13)-1,"n/a")</f>
        <v>0.068736243827151</v>
      </c>
      <c r="AA62" s="53" t="n">
        <f aca="false">IFERROR(POWER(P62/J62,1/6)-1,"n/a")</f>
        <v>0.117236663610251</v>
      </c>
      <c r="AB62" s="57" t="n">
        <f aca="false">IFERROR(AA62-Z62,"n/a")</f>
        <v>0.0485004197831003</v>
      </c>
      <c r="AC62" s="43" t="n">
        <f aca="false">IFERROR(SLOPE(C62:P62,{1,2,3,4,5,6,7,8,9,10,11,12,13,14})/AVERAGEIF(C62:P62,"&gt;0"),"n/a")</f>
        <v>0.179137971386885</v>
      </c>
      <c r="AD62" s="43" t="n">
        <f aca="false">IFERROR(SLOPE(J62:P62,{1,2,3,4,5,6,7})/AVERAGEIF(J62:P62,"&gt;0"),"n/a")</f>
        <v>0.193683663877039</v>
      </c>
      <c r="AE62" s="83" t="n">
        <f aca="false">IFERROR(J62/I62,"n/a")</f>
        <v>2.90769619826351</v>
      </c>
      <c r="AF62" s="55" t="n">
        <f aca="false">IFERROR(J62/H62,"n/a")</f>
        <v>1034.82</v>
      </c>
      <c r="AG62" s="56" t="n">
        <v>1.42536890016588</v>
      </c>
      <c r="AH62" s="47" t="s">
        <v>112</v>
      </c>
      <c r="AI62" s="48" t="n">
        <v>0.035</v>
      </c>
      <c r="AJ62" s="49" t="s">
        <v>113</v>
      </c>
    </row>
    <row r="63" customFormat="false" ht="16.5" hidden="false" customHeight="true" outlineLevel="0" collapsed="false">
      <c r="A63" s="95" t="s">
        <v>216</v>
      </c>
      <c r="B63" s="96" t="s">
        <v>217</v>
      </c>
      <c r="C63" s="30" t="n">
        <v>153892</v>
      </c>
      <c r="D63" s="30" t="n">
        <v>105820</v>
      </c>
      <c r="E63" s="30" t="n">
        <v>187574</v>
      </c>
      <c r="F63" s="30" t="n">
        <v>170199</v>
      </c>
      <c r="G63" s="30" t="n">
        <v>172830</v>
      </c>
      <c r="H63" s="30" t="n">
        <v>270595</v>
      </c>
      <c r="I63" s="30" t="n">
        <v>285135</v>
      </c>
      <c r="J63" s="31" t="n">
        <v>362317</v>
      </c>
      <c r="K63" s="31" t="n">
        <v>262665</v>
      </c>
      <c r="L63" s="31" t="n">
        <v>389340</v>
      </c>
      <c r="M63" s="31" t="n">
        <v>406672</v>
      </c>
      <c r="N63" s="31" t="n">
        <v>435445</v>
      </c>
      <c r="O63" s="31" t="n">
        <v>467384</v>
      </c>
      <c r="P63" s="31" t="n">
        <v>869138</v>
      </c>
      <c r="Q63" s="32" t="n">
        <v>435445</v>
      </c>
      <c r="R63" s="33" t="n">
        <f aca="false">IFERROR(AVERAGEIF(C63:I63,"&gt;0"),0)</f>
        <v>192292.142857143</v>
      </c>
      <c r="S63" s="34" t="n">
        <f aca="false">IFERROR(AVERAGEIF(J63:P63,"&gt;0"),0)</f>
        <v>456137.285714286</v>
      </c>
      <c r="T63" s="67" t="n">
        <f aca="false">S63-R63</f>
        <v>263845.142857143</v>
      </c>
      <c r="U63" s="51" t="n">
        <f aca="false">IFERROR(S63/R63,"n/a")</f>
        <v>2.37210568740272</v>
      </c>
      <c r="V63" s="69" t="n">
        <f aca="false">IFERROR(S63/$C$3,0)</f>
        <v>0.00132117576598011</v>
      </c>
      <c r="W63" s="69" t="n">
        <f aca="false">IFERROR(T63/$D$4,0)</f>
        <v>0.00180100518354852</v>
      </c>
      <c r="X63" s="73" t="n">
        <f aca="false">IFERROR((V63+W63)/2,0)</f>
        <v>0.00156109047476432</v>
      </c>
      <c r="Y63" s="66" t="n">
        <v>0.988254000443555</v>
      </c>
      <c r="Z63" s="53" t="n">
        <f aca="false">IFERROR(POWER(P63/C63,1/13)-1,"n/a")</f>
        <v>0.142447787973826</v>
      </c>
      <c r="AA63" s="53" t="n">
        <f aca="false">IFERROR(POWER(P63/J63,1/6)-1,"n/a")</f>
        <v>0.156999943571217</v>
      </c>
      <c r="AB63" s="57" t="n">
        <f aca="false">IFERROR(AA63-Z63,"n/a")</f>
        <v>0.0145521555973918</v>
      </c>
      <c r="AC63" s="43" t="n">
        <f aca="false">IFERROR(SLOPE(C63:P63,{1,2,3,4,5,6,7,8,9,10,11,12,13,14})/AVERAGEIF(C63:P63,"&gt;0"),"n/a")</f>
        <v>0.124035926673068</v>
      </c>
      <c r="AD63" s="43" t="n">
        <f aca="false">IFERROR(SLOPE(J63:P63,{1,2,3,4,5,6,7})/AVERAGEIF(J63:P63,"&gt;0"),"n/a")</f>
        <v>0.154715795150645</v>
      </c>
      <c r="AE63" s="45" t="n">
        <f aca="false">IFERROR(J63/I63,"n/a")</f>
        <v>1.27068581549091</v>
      </c>
      <c r="AF63" s="46" t="n">
        <f aca="false">IFERROR(J63/H63,"n/a")</f>
        <v>1.33896413459229</v>
      </c>
      <c r="AG63" s="56" t="n">
        <v>1.29490766303336</v>
      </c>
      <c r="AH63" s="47" t="s">
        <v>190</v>
      </c>
      <c r="AI63" s="48" t="n">
        <v>0.1</v>
      </c>
      <c r="AJ63" s="61" t="s">
        <v>191</v>
      </c>
    </row>
    <row r="64" customFormat="false" ht="16.5" hidden="false" customHeight="true" outlineLevel="0" collapsed="false">
      <c r="A64" s="95" t="s">
        <v>108</v>
      </c>
      <c r="B64" s="96" t="s">
        <v>109</v>
      </c>
      <c r="C64" s="30" t="n">
        <v>51194</v>
      </c>
      <c r="D64" s="30" t="n">
        <v>79034</v>
      </c>
      <c r="E64" s="30" t="n">
        <v>71954</v>
      </c>
      <c r="F64" s="30" t="n">
        <v>102676</v>
      </c>
      <c r="G64" s="30" t="n">
        <v>143812</v>
      </c>
      <c r="H64" s="30" t="n">
        <v>88279</v>
      </c>
      <c r="I64" s="30" t="n">
        <v>201976</v>
      </c>
      <c r="J64" s="31" t="n">
        <v>1027371</v>
      </c>
      <c r="K64" s="31" t="n">
        <v>209862</v>
      </c>
      <c r="L64" s="31" t="n">
        <v>138676</v>
      </c>
      <c r="M64" s="31" t="n">
        <v>448508</v>
      </c>
      <c r="N64" s="31" t="n">
        <v>187312</v>
      </c>
      <c r="O64" s="31" t="n">
        <v>299422</v>
      </c>
      <c r="P64" s="31" t="n">
        <v>429623</v>
      </c>
      <c r="Q64" s="32" t="n">
        <v>187312</v>
      </c>
      <c r="R64" s="33" t="n">
        <f aca="false">IFERROR(AVERAGEIF(C64:I64,"&gt;0"),0)</f>
        <v>105560.714285714</v>
      </c>
      <c r="S64" s="34" t="n">
        <f aca="false">IFERROR(AVERAGEIF(J64:P64,"&gt;0"),0)</f>
        <v>391539.142857143</v>
      </c>
      <c r="T64" s="67" t="n">
        <f aca="false">S64-R64</f>
        <v>285978.428571429</v>
      </c>
      <c r="U64" s="51" t="n">
        <f aca="false">IFERROR(S64/R64,"n/a")</f>
        <v>3.70913692187976</v>
      </c>
      <c r="V64" s="69" t="n">
        <f aca="false">IFERROR(S64/$C$3,0)</f>
        <v>0.00113407091061506</v>
      </c>
      <c r="W64" s="69" t="n">
        <f aca="false">IFERROR(T64/$D$4,0)</f>
        <v>0.00195208684405865</v>
      </c>
      <c r="X64" s="73" t="n">
        <f aca="false">IFERROR((V64+W64)/2,0)</f>
        <v>0.00154307887733686</v>
      </c>
      <c r="Y64" s="66" t="n">
        <v>0.989808991320779</v>
      </c>
      <c r="Z64" s="53" t="n">
        <f aca="false">IFERROR(POWER(P64/C64,1/13)-1,"n/a")</f>
        <v>0.177787130556825</v>
      </c>
      <c r="AA64" s="41" t="n">
        <f aca="false">IFERROR(POWER(P64/J64,1/6)-1,"n/a")</f>
        <v>-0.135244425820492</v>
      </c>
      <c r="AB64" s="42" t="n">
        <f aca="false">IFERROR(AA64-Z64,"n/a")</f>
        <v>-0.313031556377316</v>
      </c>
      <c r="AC64" s="43" t="n">
        <f aca="false">IFERROR(SLOPE(C64:P64,{1,2,3,4,5,6,7,8,9,10,11,12,13,14})/AVERAGEIF(C64:P64,"&gt;0"),"n/a")</f>
        <v>0.105821310318021</v>
      </c>
      <c r="AD64" s="44" t="n">
        <f aca="false">IFERROR(SLOPE(J64:P64,{1,2,3,4,5,6,7})/AVERAGEIF(J64:P64,"&gt;0"),"n/a")</f>
        <v>-0.142796159041205</v>
      </c>
      <c r="AE64" s="54" t="n">
        <f aca="false">IFERROR(J64/I64,"n/a")</f>
        <v>5.08659939794827</v>
      </c>
      <c r="AF64" s="55" t="n">
        <f aca="false">IFERROR(J64/H64,"n/a")</f>
        <v>11.6377734228979</v>
      </c>
      <c r="AG64" s="72" t="n">
        <v>0.780132303259347</v>
      </c>
      <c r="AH64" s="47" t="s">
        <v>349</v>
      </c>
      <c r="AI64" s="48" t="n">
        <v>0.028</v>
      </c>
      <c r="AJ64" s="49" t="s">
        <v>350</v>
      </c>
    </row>
    <row r="65" customFormat="false" ht="16.5" hidden="false" customHeight="true" outlineLevel="0" collapsed="false">
      <c r="A65" s="95" t="s">
        <v>226</v>
      </c>
      <c r="B65" s="96" t="s">
        <v>227</v>
      </c>
      <c r="C65" s="30" t="n">
        <v>197</v>
      </c>
      <c r="D65" s="30" t="n">
        <v>2398</v>
      </c>
      <c r="E65" s="30" t="n">
        <v>22301</v>
      </c>
      <c r="F65" s="30" t="n">
        <v>49291</v>
      </c>
      <c r="G65" s="30" t="n">
        <v>3965</v>
      </c>
      <c r="H65" s="30" t="n">
        <v>49249</v>
      </c>
      <c r="I65" s="30" t="n">
        <v>16703</v>
      </c>
      <c r="J65" s="31" t="n">
        <v>23838</v>
      </c>
      <c r="K65" s="31" t="n">
        <v>27356</v>
      </c>
      <c r="L65" s="31" t="n">
        <v>172728</v>
      </c>
      <c r="M65" s="31" t="n">
        <v>224755</v>
      </c>
      <c r="N65" s="31" t="n">
        <v>39727</v>
      </c>
      <c r="O65" s="31" t="n">
        <v>843873</v>
      </c>
      <c r="P65" s="31" t="n">
        <v>598353</v>
      </c>
      <c r="Q65" s="32" t="n">
        <v>39727</v>
      </c>
      <c r="R65" s="33" t="n">
        <f aca="false">IFERROR(AVERAGEIF(C65:I65,"&gt;0"),0)</f>
        <v>20586.2857142857</v>
      </c>
      <c r="S65" s="34" t="n">
        <f aca="false">IFERROR(AVERAGEIF(J65:P65,"&gt;0"),0)</f>
        <v>275804.285714286</v>
      </c>
      <c r="T65" s="67" t="n">
        <f aca="false">S65-R65</f>
        <v>255218</v>
      </c>
      <c r="U65" s="51" t="n">
        <f aca="false">IFERROR(S65/R65,"n/a")</f>
        <v>13.397476822295</v>
      </c>
      <c r="V65" s="69" t="n">
        <f aca="false">IFERROR(S65/$C$3,0)</f>
        <v>0.000798851463915215</v>
      </c>
      <c r="W65" s="69" t="n">
        <f aca="false">IFERROR(T65/$D$4,0)</f>
        <v>0.00174211636400584</v>
      </c>
      <c r="X65" s="73" t="n">
        <f aca="false">IFERROR((V65+W65)/2,0)</f>
        <v>0.00127048391396053</v>
      </c>
      <c r="Y65" s="66" t="n">
        <v>0.991087866172607</v>
      </c>
      <c r="Z65" s="59" t="n">
        <f aca="false">IFERROR(POWER(P65/C65,1/13)-1,"n/a")</f>
        <v>0.853036364212808</v>
      </c>
      <c r="AA65" s="59" t="n">
        <f aca="false">IFERROR(POWER(P65/J65,1/6)-1,"n/a")</f>
        <v>0.711123186531613</v>
      </c>
      <c r="AB65" s="42" t="n">
        <f aca="false">IFERROR(AA65-Z65,"n/a")</f>
        <v>-0.141913177681196</v>
      </c>
      <c r="AC65" s="43" t="n">
        <f aca="false">IFERROR(SLOPE(C65:P65,{1,2,3,4,5,6,7,8,9,10,11,12,13,14})/AVERAGEIF(C65:P65,"&gt;0"),"n/a")</f>
        <v>0.284783213358732</v>
      </c>
      <c r="AD65" s="43" t="n">
        <f aca="false">IFERROR(SLOPE(J65:P65,{1,2,3,4,5,6,7})/AVERAGEIF(J65:P65,"&gt;0"),"n/a")</f>
        <v>0.417425658981783</v>
      </c>
      <c r="AE65" s="45" t="n">
        <f aca="false">IFERROR(J65/I65,"n/a")</f>
        <v>1.42716877207687</v>
      </c>
      <c r="AF65" s="46" t="n">
        <f aca="false">IFERROR(J65/H65,"n/a")</f>
        <v>0.484030132591525</v>
      </c>
      <c r="AG65" s="56" t="n">
        <v>1.79106837319079</v>
      </c>
      <c r="AH65" s="47" t="s">
        <v>104</v>
      </c>
      <c r="AI65" s="48" t="n">
        <v>0.0325</v>
      </c>
      <c r="AJ65" s="49" t="s">
        <v>105</v>
      </c>
    </row>
    <row r="66" customFormat="false" ht="16.5" hidden="false" customHeight="true" outlineLevel="0" collapsed="false">
      <c r="A66" s="95" t="s">
        <v>150</v>
      </c>
      <c r="B66" s="96" t="s">
        <v>151</v>
      </c>
      <c r="C66" s="30" t="n">
        <v>7157</v>
      </c>
      <c r="D66" s="30" t="n">
        <v>41500</v>
      </c>
      <c r="E66" s="30" t="n">
        <v>142267</v>
      </c>
      <c r="F66" s="30" t="n">
        <v>651249</v>
      </c>
      <c r="G66" s="30" t="n">
        <v>783397</v>
      </c>
      <c r="H66" s="30" t="n">
        <v>267611</v>
      </c>
      <c r="I66" s="30" t="n">
        <v>222465</v>
      </c>
      <c r="J66" s="31" t="n">
        <v>271313</v>
      </c>
      <c r="K66" s="31" t="n">
        <v>228740</v>
      </c>
      <c r="L66" s="31" t="n">
        <v>255352</v>
      </c>
      <c r="M66" s="31" t="n">
        <v>421230</v>
      </c>
      <c r="N66" s="31" t="n">
        <v>436813</v>
      </c>
      <c r="O66" s="31" t="n">
        <v>621165</v>
      </c>
      <c r="P66" s="31" t="n">
        <v>931403</v>
      </c>
      <c r="Q66" s="32" t="n">
        <v>436813</v>
      </c>
      <c r="R66" s="33" t="n">
        <f aca="false">IFERROR(AVERAGEIF(C66:I66,"&gt;0"),0)</f>
        <v>302235.142857143</v>
      </c>
      <c r="S66" s="34" t="n">
        <f aca="false">IFERROR(AVERAGEIF(J66:P66,"&gt;0"),0)</f>
        <v>452288</v>
      </c>
      <c r="T66" s="88" t="n">
        <f aca="false">S66-R66</f>
        <v>150052.857142857</v>
      </c>
      <c r="U66" s="36" t="n">
        <f aca="false">IFERROR(S66/R66,"n/a")</f>
        <v>1.49647719892647</v>
      </c>
      <c r="V66" s="69" t="n">
        <f aca="false">IFERROR(S66/$C$3,0)</f>
        <v>0.00131002652832443</v>
      </c>
      <c r="W66" s="69" t="n">
        <f aca="false">IFERROR(T66/$D$4,0)</f>
        <v>0.00102425980101091</v>
      </c>
      <c r="X66" s="73" t="n">
        <f aca="false">IFERROR((V66+W66)/2,0)</f>
        <v>0.00116714316466767</v>
      </c>
      <c r="Y66" s="66" t="n">
        <v>0.992268769531379</v>
      </c>
      <c r="Z66" s="59" t="n">
        <f aca="false">IFERROR(POWER(P66/C66,1/13)-1,"n/a")</f>
        <v>0.454275416398901</v>
      </c>
      <c r="AA66" s="59" t="n">
        <f aca="false">IFERROR(POWER(P66/J66,1/6)-1,"n/a")</f>
        <v>0.228224731708005</v>
      </c>
      <c r="AB66" s="42" t="n">
        <f aca="false">IFERROR(AA66-Z66,"n/a")</f>
        <v>-0.226050684690896</v>
      </c>
      <c r="AC66" s="43" t="n">
        <f aca="false">IFERROR(SLOPE(C66:P66,{1,2,3,4,5,6,7,8,9,10,11,12,13,14})/AVERAGEIF(C66:P66,"&gt;0"),"n/a")</f>
        <v>0.0974303106163873</v>
      </c>
      <c r="AD66" s="43" t="n">
        <f aca="false">IFERROR(SLOPE(J66:P66,{1,2,3,4,5,6,7})/AVERAGEIF(J66:P66,"&gt;0"),"n/a")</f>
        <v>0.232672623890719</v>
      </c>
      <c r="AE66" s="45" t="n">
        <f aca="false">IFERROR(J66/I66,"n/a")</f>
        <v>1.21957611309644</v>
      </c>
      <c r="AF66" s="46" t="n">
        <f aca="false">IFERROR(J66/H66,"n/a")</f>
        <v>1.01383351207536</v>
      </c>
      <c r="AG66" s="56" t="n">
        <v>1.46616094170086</v>
      </c>
      <c r="AH66" s="47" t="s">
        <v>190</v>
      </c>
      <c r="AI66" s="48" t="n">
        <v>0.1</v>
      </c>
      <c r="AJ66" s="61" t="s">
        <v>191</v>
      </c>
    </row>
    <row r="67" customFormat="false" ht="16.5" hidden="false" customHeight="true" outlineLevel="0" collapsed="false">
      <c r="A67" s="95" t="s">
        <v>102</v>
      </c>
      <c r="B67" s="96" t="s">
        <v>103</v>
      </c>
      <c r="C67" s="30" t="n">
        <v>174664</v>
      </c>
      <c r="D67" s="30" t="n">
        <v>131584</v>
      </c>
      <c r="E67" s="30" t="n">
        <v>263356</v>
      </c>
      <c r="F67" s="30" t="n">
        <v>256443</v>
      </c>
      <c r="G67" s="30" t="n">
        <v>248822</v>
      </c>
      <c r="H67" s="30" t="n">
        <v>335280</v>
      </c>
      <c r="I67" s="30" t="n">
        <v>272139</v>
      </c>
      <c r="J67" s="31" t="n">
        <v>228126</v>
      </c>
      <c r="K67" s="31" t="n">
        <v>315641</v>
      </c>
      <c r="L67" s="31" t="n">
        <v>188667</v>
      </c>
      <c r="M67" s="31" t="n">
        <v>810792</v>
      </c>
      <c r="N67" s="31" t="n">
        <v>557656</v>
      </c>
      <c r="O67" s="31" t="n">
        <v>142598</v>
      </c>
      <c r="P67" s="31" t="n">
        <v>393486</v>
      </c>
      <c r="Q67" s="32" t="n">
        <v>557656</v>
      </c>
      <c r="R67" s="33" t="n">
        <f aca="false">IFERROR(AVERAGEIF(C67:I67,"&gt;0"),0)</f>
        <v>240326.857142857</v>
      </c>
      <c r="S67" s="34" t="n">
        <f aca="false">IFERROR(AVERAGEIF(J67:P67,"&gt;0"),0)</f>
        <v>376709.428571429</v>
      </c>
      <c r="T67" s="88" t="n">
        <f aca="false">S67-R67</f>
        <v>136382.571428571</v>
      </c>
      <c r="U67" s="36" t="n">
        <f aca="false">IFERROR(S67/R67,"n/a")</f>
        <v>1.56748784988064</v>
      </c>
      <c r="V67" s="69" t="n">
        <f aca="false">IFERROR(S67/$C$3,0)</f>
        <v>0.0010911174846525</v>
      </c>
      <c r="W67" s="69" t="n">
        <f aca="false">IFERROR(T67/$D$4,0)</f>
        <v>0.000930946521996526</v>
      </c>
      <c r="X67" s="73" t="n">
        <f aca="false">IFERROR((V67+W67)/2,0)</f>
        <v>0.00101103200332451</v>
      </c>
      <c r="Y67" s="66" t="n">
        <v>0.993291262362446</v>
      </c>
      <c r="Z67" s="53" t="n">
        <f aca="false">IFERROR(POWER(P67/C67,1/13)-1,"n/a")</f>
        <v>0.0644683677184519</v>
      </c>
      <c r="AA67" s="53" t="n">
        <f aca="false">IFERROR(POWER(P67/J67,1/6)-1,"n/a")</f>
        <v>0.0951133751573376</v>
      </c>
      <c r="AB67" s="57" t="n">
        <f aca="false">IFERROR(AA67-Z67,"n/a")</f>
        <v>0.0306450074388858</v>
      </c>
      <c r="AC67" s="43" t="n">
        <f aca="false">IFERROR(SLOPE(C67:P67,{1,2,3,4,5,6,7,8,9,10,11,12,13,14})/AVERAGEIF(C67:P67,"&gt;0"),"n/a")</f>
        <v>0.0647638760696247</v>
      </c>
      <c r="AD67" s="43" t="n">
        <f aca="false">IFERROR(SLOPE(J67:P67,{1,2,3,4,5,6,7})/AVERAGEIF(J67:P67,"&gt;0"),"n/a")</f>
        <v>0.0492026632121916</v>
      </c>
      <c r="AE67" s="46" t="n">
        <f aca="false">IFERROR(J67/I67,"n/a")</f>
        <v>0.838270148710769</v>
      </c>
      <c r="AF67" s="46" t="n">
        <f aca="false">IFERROR(J67/H67,"n/a")</f>
        <v>0.680404438081603</v>
      </c>
      <c r="AG67" s="46" t="n">
        <v>0.967801632633868</v>
      </c>
      <c r="AH67" s="47" t="s">
        <v>104</v>
      </c>
      <c r="AI67" s="48" t="n">
        <v>0.0325</v>
      </c>
      <c r="AJ67" s="49" t="s">
        <v>105</v>
      </c>
    </row>
    <row r="68" customFormat="false" ht="16.5" hidden="false" customHeight="true" outlineLevel="0" collapsed="false">
      <c r="A68" s="95" t="s">
        <v>180</v>
      </c>
      <c r="B68" s="96" t="s">
        <v>181</v>
      </c>
      <c r="C68" s="30" t="n">
        <v>99194</v>
      </c>
      <c r="D68" s="30" t="n">
        <v>94426</v>
      </c>
      <c r="E68" s="30" t="n">
        <v>150678</v>
      </c>
      <c r="F68" s="30" t="n">
        <v>196277</v>
      </c>
      <c r="G68" s="30" t="n">
        <v>137999</v>
      </c>
      <c r="H68" s="30" t="n">
        <v>307803</v>
      </c>
      <c r="I68" s="30" t="n">
        <v>206425</v>
      </c>
      <c r="J68" s="31" t="n">
        <v>203422</v>
      </c>
      <c r="K68" s="31" t="n">
        <v>199218</v>
      </c>
      <c r="L68" s="31" t="n">
        <v>280899</v>
      </c>
      <c r="M68" s="31" t="n">
        <v>247787</v>
      </c>
      <c r="N68" s="31" t="n">
        <v>364963</v>
      </c>
      <c r="O68" s="31" t="n">
        <v>415058</v>
      </c>
      <c r="P68" s="31" t="n">
        <v>534282</v>
      </c>
      <c r="Q68" s="32" t="n">
        <v>364963</v>
      </c>
      <c r="R68" s="33" t="n">
        <f aca="false">IFERROR(AVERAGEIF(C68:I68,"&gt;0"),0)</f>
        <v>170400.285714286</v>
      </c>
      <c r="S68" s="34" t="n">
        <f aca="false">IFERROR(AVERAGEIF(J68:P68,"&gt;0"),0)</f>
        <v>320804.142857143</v>
      </c>
      <c r="T68" s="88" t="n">
        <f aca="false">S68-R68</f>
        <v>150403.857142857</v>
      </c>
      <c r="U68" s="36" t="n">
        <f aca="false">IFERROR(S68/R68,"n/a")</f>
        <v>1.88265026383256</v>
      </c>
      <c r="V68" s="69" t="n">
        <f aca="false">IFERROR(S68/$C$3,0)</f>
        <v>0.000929190996752594</v>
      </c>
      <c r="W68" s="69" t="n">
        <f aca="false">IFERROR(T68/$D$4,0)</f>
        <v>0.00102665572466741</v>
      </c>
      <c r="X68" s="73" t="n">
        <f aca="false">IFERROR((V68+W68)/2,0)</f>
        <v>0.000977923360710003</v>
      </c>
      <c r="Y68" s="66" t="n">
        <v>0.994278945715185</v>
      </c>
      <c r="Z68" s="53" t="n">
        <f aca="false">IFERROR(POWER(P68/C68,1/13)-1,"n/a")</f>
        <v>0.138289429911678</v>
      </c>
      <c r="AA68" s="53" t="n">
        <f aca="false">IFERROR(POWER(P68/J68,1/6)-1,"n/a")</f>
        <v>0.174614715049442</v>
      </c>
      <c r="AB68" s="57" t="n">
        <f aca="false">IFERROR(AA68-Z68,"n/a")</f>
        <v>0.0363252851377647</v>
      </c>
      <c r="AC68" s="43" t="n">
        <f aca="false">IFERROR(SLOPE(C68:P68,{1,2,3,4,5,6,7,8,9,10,11,12,13,14})/AVERAGEIF(C68:P68,"&gt;0"),"n/a")</f>
        <v>0.106112557643968</v>
      </c>
      <c r="AD68" s="43" t="n">
        <f aca="false">IFERROR(SLOPE(J68:P68,{1,2,3,4,5,6,7})/AVERAGEIF(J68:P68,"&gt;0"),"n/a")</f>
        <v>0.167917763798027</v>
      </c>
      <c r="AE68" s="46" t="n">
        <f aca="false">IFERROR(J68/I68,"n/a")</f>
        <v>0.98545234346615</v>
      </c>
      <c r="AF68" s="46" t="n">
        <f aca="false">IFERROR(J68/H68,"n/a")</f>
        <v>0.660883747071991</v>
      </c>
      <c r="AG68" s="56" t="n">
        <v>1.3656338602681</v>
      </c>
      <c r="AH68" s="47" t="s">
        <v>90</v>
      </c>
      <c r="AI68" s="48" t="n">
        <v>0.025</v>
      </c>
      <c r="AJ68" s="49" t="s">
        <v>91</v>
      </c>
    </row>
    <row r="69" customFormat="false" ht="16.5" hidden="false" customHeight="true" outlineLevel="0" collapsed="false">
      <c r="A69" s="95" t="s">
        <v>250</v>
      </c>
      <c r="B69" s="96" t="s">
        <v>251</v>
      </c>
      <c r="C69" s="30" t="n">
        <v>73462</v>
      </c>
      <c r="D69" s="30" t="n">
        <v>120368</v>
      </c>
      <c r="E69" s="30" t="n">
        <v>37036</v>
      </c>
      <c r="F69" s="30" t="n">
        <v>79462</v>
      </c>
      <c r="G69" s="30" t="n">
        <v>4979</v>
      </c>
      <c r="H69" s="30" t="n">
        <v>143229</v>
      </c>
      <c r="I69" s="30" t="n">
        <v>271242</v>
      </c>
      <c r="J69" s="31" t="n">
        <v>117704</v>
      </c>
      <c r="K69" s="31" t="n">
        <v>86971</v>
      </c>
      <c r="L69" s="31" t="n">
        <v>93116</v>
      </c>
      <c r="M69" s="31" t="n">
        <v>98048</v>
      </c>
      <c r="N69" s="31" t="n">
        <v>235887</v>
      </c>
      <c r="O69" s="31" t="n">
        <v>236551</v>
      </c>
      <c r="P69" s="31" t="n">
        <v>952756</v>
      </c>
      <c r="Q69" s="32" t="n">
        <v>235887</v>
      </c>
      <c r="R69" s="33" t="n">
        <f aca="false">IFERROR(AVERAGEIF(C69:I69,"&gt;0"),0)</f>
        <v>104254</v>
      </c>
      <c r="S69" s="34" t="n">
        <f aca="false">IFERROR(AVERAGEIF(J69:P69,"&gt;0"),0)</f>
        <v>260147.571428571</v>
      </c>
      <c r="T69" s="88" t="n">
        <f aca="false">S69-R69</f>
        <v>155893.571428571</v>
      </c>
      <c r="U69" s="51" t="n">
        <f aca="false">IFERROR(S69/R69,"n/a")</f>
        <v>2.49532460556498</v>
      </c>
      <c r="V69" s="69" t="n">
        <f aca="false">IFERROR(S69/$C$3,0)</f>
        <v>0.00075350267937819</v>
      </c>
      <c r="W69" s="69" t="n">
        <f aca="false">IFERROR(T69/$D$4,0)</f>
        <v>0.00106412847772895</v>
      </c>
      <c r="X69" s="73" t="n">
        <f aca="false">IFERROR((V69+W69)/2,0)</f>
        <v>0.00090881557855357</v>
      </c>
      <c r="Y69" s="66" t="n">
        <v>0.995195675899208</v>
      </c>
      <c r="Z69" s="59" t="n">
        <f aca="false">IFERROR(POWER(P69/C69,1/13)-1,"n/a")</f>
        <v>0.217893042825124</v>
      </c>
      <c r="AA69" s="59" t="n">
        <f aca="false">IFERROR(POWER(P69/J69,1/6)-1,"n/a")</f>
        <v>0.416984430714651</v>
      </c>
      <c r="AB69" s="70" t="n">
        <f aca="false">IFERROR(AA69-Z69,"n/a")</f>
        <v>0.199091387889527</v>
      </c>
      <c r="AC69" s="43" t="n">
        <f aca="false">IFERROR(SLOPE(C69:P69,{1,2,3,4,5,6,7,8,9,10,11,12,13,14})/AVERAGEIF(C69:P69,"&gt;0"),"n/a")</f>
        <v>0.177885736068918</v>
      </c>
      <c r="AD69" s="43" t="n">
        <f aca="false">IFERROR(SLOPE(J69:P69,{1,2,3,4,5,6,7})/AVERAGEIF(J69:P69,"&gt;0"),"n/a")</f>
        <v>0.404590004684155</v>
      </c>
      <c r="AE69" s="46" t="n">
        <f aca="false">IFERROR(J69/I69,"n/a")</f>
        <v>0.433944595600976</v>
      </c>
      <c r="AF69" s="46" t="n">
        <f aca="false">IFERROR(J69/H69,"n/a")</f>
        <v>0.821788883536155</v>
      </c>
      <c r="AG69" s="56" t="n">
        <v>1.82613531257625</v>
      </c>
      <c r="AH69" s="47" t="s">
        <v>148</v>
      </c>
      <c r="AI69" s="48" t="n">
        <v>0.06</v>
      </c>
      <c r="AJ69" s="49" t="s">
        <v>149</v>
      </c>
    </row>
    <row r="70" customFormat="false" ht="16.5" hidden="false" customHeight="true" outlineLevel="0" collapsed="false">
      <c r="A70" s="95" t="s">
        <v>236</v>
      </c>
      <c r="B70" s="96" t="s">
        <v>237</v>
      </c>
      <c r="C70" s="30" t="n">
        <v>28943</v>
      </c>
      <c r="D70" s="30" t="n">
        <v>30964</v>
      </c>
      <c r="E70" s="30" t="n">
        <v>32735</v>
      </c>
      <c r="F70" s="30" t="n">
        <v>28266</v>
      </c>
      <c r="G70" s="30" t="n">
        <v>20983</v>
      </c>
      <c r="H70" s="30" t="n">
        <v>78059</v>
      </c>
      <c r="I70" s="30" t="n">
        <v>46088</v>
      </c>
      <c r="J70" s="31" t="n">
        <v>57894</v>
      </c>
      <c r="K70" s="31" t="n">
        <v>77214</v>
      </c>
      <c r="L70" s="31" t="n">
        <v>119320</v>
      </c>
      <c r="M70" s="31" t="n">
        <v>107379</v>
      </c>
      <c r="N70" s="31" t="n">
        <v>318947</v>
      </c>
      <c r="O70" s="31" t="n">
        <v>320094</v>
      </c>
      <c r="P70" s="31" t="n">
        <v>204142</v>
      </c>
      <c r="Q70" s="32" t="n">
        <v>318947</v>
      </c>
      <c r="R70" s="33" t="n">
        <f aca="false">IFERROR(AVERAGEIF(C70:I70,"&gt;0"),0)</f>
        <v>38005.4285714286</v>
      </c>
      <c r="S70" s="34" t="n">
        <f aca="false">IFERROR(AVERAGEIF(J70:P70,"&gt;0"),0)</f>
        <v>172141.428571429</v>
      </c>
      <c r="T70" s="88" t="n">
        <f aca="false">S70-R70</f>
        <v>134136</v>
      </c>
      <c r="U70" s="51" t="n">
        <f aca="false">IFERROR(S70/R70,"n/a")</f>
        <v>4.52939053819379</v>
      </c>
      <c r="V70" s="69" t="n">
        <f aca="false">IFERROR(S70/$C$3,0)</f>
        <v>0.000498597880227281</v>
      </c>
      <c r="W70" s="69" t="n">
        <f aca="false">IFERROR(T70/$D$4,0)</f>
        <v>0.000915611440424606</v>
      </c>
      <c r="X70" s="73" t="n">
        <f aca="false">IFERROR((V70+W70)/2,0)</f>
        <v>0.000707104660325943</v>
      </c>
      <c r="Y70" s="66" t="n">
        <v>0.995908017708144</v>
      </c>
      <c r="Z70" s="53" t="n">
        <f aca="false">IFERROR(POWER(P70/C70,1/13)-1,"n/a")</f>
        <v>0.16214596458651</v>
      </c>
      <c r="AA70" s="59" t="n">
        <f aca="false">IFERROR(POWER(P70/J70,1/6)-1,"n/a")</f>
        <v>0.233719610493297</v>
      </c>
      <c r="AB70" s="57" t="n">
        <f aca="false">IFERROR(AA70-Z70,"n/a")</f>
        <v>0.0715736459067873</v>
      </c>
      <c r="AC70" s="43" t="n">
        <f aca="false">IFERROR(SLOPE(C70:P70,{1,2,3,4,5,6,7,8,9,10,11,12,13,14})/AVERAGEIF(C70:P70,"&gt;0"),"n/a")</f>
        <v>0.19010613404629</v>
      </c>
      <c r="AD70" s="43" t="n">
        <f aca="false">IFERROR(SLOPE(J70:P70,{1,2,3,4,5,6,7})/AVERAGEIF(J70:P70,"&gt;0"),"n/a")</f>
        <v>0.233224134640122</v>
      </c>
      <c r="AE70" s="45" t="n">
        <f aca="false">IFERROR(J70/I70,"n/a")</f>
        <v>1.25616212463114</v>
      </c>
      <c r="AF70" s="46" t="n">
        <f aca="false">IFERROR(J70/H70,"n/a")</f>
        <v>0.741669762615458</v>
      </c>
      <c r="AG70" s="56" t="n">
        <v>1.63273305172657</v>
      </c>
      <c r="AH70" s="47" t="s">
        <v>351</v>
      </c>
      <c r="AI70" s="48" t="n">
        <v>0.0225</v>
      </c>
      <c r="AJ70" s="49" t="s">
        <v>352</v>
      </c>
    </row>
    <row r="71" customFormat="false" ht="16.5" hidden="false" customHeight="true" outlineLevel="0" collapsed="false">
      <c r="A71" s="95" t="s">
        <v>266</v>
      </c>
      <c r="B71" s="96" t="s">
        <v>267</v>
      </c>
      <c r="C71" s="30" t="n">
        <v>30008</v>
      </c>
      <c r="D71" s="30" t="n">
        <v>71362</v>
      </c>
      <c r="E71" s="30" t="n">
        <v>97198</v>
      </c>
      <c r="F71" s="30" t="n">
        <v>135201</v>
      </c>
      <c r="G71" s="30" t="n">
        <v>132520</v>
      </c>
      <c r="H71" s="30" t="n">
        <v>156691</v>
      </c>
      <c r="I71" s="30" t="n">
        <v>139633</v>
      </c>
      <c r="J71" s="31" t="n">
        <v>261916</v>
      </c>
      <c r="K71" s="31" t="n">
        <v>147096</v>
      </c>
      <c r="L71" s="31" t="n">
        <v>162485</v>
      </c>
      <c r="M71" s="31" t="n">
        <v>150483</v>
      </c>
      <c r="N71" s="31" t="n">
        <v>213772</v>
      </c>
      <c r="O71" s="31" t="n">
        <v>242828</v>
      </c>
      <c r="P71" s="31" t="n">
        <v>331720</v>
      </c>
      <c r="Q71" s="32" t="n">
        <v>213772</v>
      </c>
      <c r="R71" s="33" t="n">
        <f aca="false">IFERROR(AVERAGEIF(C71:I71,"&gt;0"),0)</f>
        <v>108944.714285714</v>
      </c>
      <c r="S71" s="34" t="n">
        <f aca="false">IFERROR(AVERAGEIF(J71:P71,"&gt;0"),0)</f>
        <v>215757.142857143</v>
      </c>
      <c r="T71" s="88" t="n">
        <f aca="false">S71-R71</f>
        <v>106812.428571429</v>
      </c>
      <c r="U71" s="36" t="n">
        <f aca="false">IFERROR(S71/R71,"n/a")</f>
        <v>1.9804278185659</v>
      </c>
      <c r="V71" s="69" t="n">
        <f aca="false">IFERROR(S71/$C$3,0)</f>
        <v>0.000624928321817826</v>
      </c>
      <c r="W71" s="69" t="n">
        <f aca="false">IFERROR(T71/$D$4,0)</f>
        <v>0.000729100924282341</v>
      </c>
      <c r="X71" s="73" t="n">
        <f aca="false">IFERROR((V71+W71)/2,0)</f>
        <v>0.000677014623050083</v>
      </c>
      <c r="Y71" s="66" t="n">
        <v>0.996591596423465</v>
      </c>
      <c r="Z71" s="59" t="n">
        <f aca="false">IFERROR(POWER(P71/C71,1/13)-1,"n/a")</f>
        <v>0.203017355334277</v>
      </c>
      <c r="AA71" s="40" t="n">
        <f aca="false">IFERROR(POWER(P71/J71,1/6)-1,"n/a")</f>
        <v>0.0401634868079011</v>
      </c>
      <c r="AB71" s="42" t="n">
        <f aca="false">IFERROR(AA71-Z71,"n/a")</f>
        <v>-0.162853868526376</v>
      </c>
      <c r="AC71" s="43" t="n">
        <f aca="false">IFERROR(SLOPE(C71:P71,{1,2,3,4,5,6,7,8,9,10,11,12,13,14})/AVERAGEIF(C71:P71,"&gt;0"),"n/a")</f>
        <v>0.0975751584657425</v>
      </c>
      <c r="AD71" s="43" t="n">
        <f aca="false">IFERROR(SLOPE(J71:P71,{1,2,3,4,5,6,7})/AVERAGEIF(J71:P71,"&gt;0"),"n/a")</f>
        <v>0.0748465536648348</v>
      </c>
      <c r="AE71" s="71" t="n">
        <f aca="false">IFERROR(J71/I71,"n/a")</f>
        <v>1.8757457048119</v>
      </c>
      <c r="AF71" s="71" t="n">
        <f aca="false">IFERROR(J71/H71,"n/a")</f>
        <v>1.67154463242943</v>
      </c>
      <c r="AG71" s="56" t="n">
        <v>1.21791255600433</v>
      </c>
      <c r="AH71" s="47" t="s">
        <v>104</v>
      </c>
      <c r="AI71" s="48" t="n">
        <v>0.0325</v>
      </c>
      <c r="AJ71" s="49" t="s">
        <v>105</v>
      </c>
    </row>
    <row r="72" customFormat="false" ht="16.5" hidden="false" customHeight="true" outlineLevel="0" collapsed="false">
      <c r="A72" s="95" t="s">
        <v>228</v>
      </c>
      <c r="B72" s="96" t="s">
        <v>229</v>
      </c>
      <c r="C72" s="30" t="n">
        <v>49821</v>
      </c>
      <c r="D72" s="30" t="n">
        <v>71970</v>
      </c>
      <c r="E72" s="30" t="n">
        <v>93705</v>
      </c>
      <c r="F72" s="30" t="n">
        <v>107925</v>
      </c>
      <c r="G72" s="30" t="n">
        <v>181570</v>
      </c>
      <c r="H72" s="30" t="n">
        <v>185072</v>
      </c>
      <c r="I72" s="30" t="n">
        <v>193935</v>
      </c>
      <c r="J72" s="31" t="n">
        <v>274498</v>
      </c>
      <c r="K72" s="31" t="n">
        <v>298583</v>
      </c>
      <c r="L72" s="31" t="n">
        <v>134529</v>
      </c>
      <c r="M72" s="31" t="n">
        <v>180200</v>
      </c>
      <c r="N72" s="31" t="n">
        <v>133851</v>
      </c>
      <c r="O72" s="31" t="n">
        <v>92112</v>
      </c>
      <c r="P72" s="31" t="n">
        <v>286297</v>
      </c>
      <c r="Q72" s="32" t="n">
        <v>133851</v>
      </c>
      <c r="R72" s="33" t="n">
        <f aca="false">IFERROR(AVERAGEIF(C72:I72,"&gt;0"),0)</f>
        <v>126285.428571429</v>
      </c>
      <c r="S72" s="34" t="n">
        <f aca="false">IFERROR(AVERAGEIF(J72:P72,"&gt;0"),0)</f>
        <v>200010</v>
      </c>
      <c r="T72" s="88" t="n">
        <f aca="false">S72-R72</f>
        <v>73724.5714285714</v>
      </c>
      <c r="U72" s="36" t="n">
        <f aca="false">IFERROR(S72/R72,"n/a")</f>
        <v>1.58379317600266</v>
      </c>
      <c r="V72" s="69" t="n">
        <f aca="false">IFERROR(S72/$C$3,0)</f>
        <v>0.000579317616054746</v>
      </c>
      <c r="W72" s="69" t="n">
        <f aca="false">IFERROR(T72/$D$4,0)</f>
        <v>0.000503243432340319</v>
      </c>
      <c r="X72" s="73" t="n">
        <f aca="false">IFERROR((V72+W72)/2,0)</f>
        <v>0.000541280524197533</v>
      </c>
      <c r="Y72" s="66" t="n">
        <v>0.99713896195638</v>
      </c>
      <c r="Z72" s="53" t="n">
        <f aca="false">IFERROR(POWER(P72/C72,1/13)-1,"n/a")</f>
        <v>0.143972856122619</v>
      </c>
      <c r="AA72" s="40" t="n">
        <f aca="false">IFERROR(POWER(P72/J72,1/6)-1,"n/a")</f>
        <v>0.00703895086932249</v>
      </c>
      <c r="AB72" s="42" t="n">
        <f aca="false">IFERROR(AA72-Z72,"n/a")</f>
        <v>-0.136933905253297</v>
      </c>
      <c r="AC72" s="43" t="n">
        <f aca="false">IFERROR(SLOPE(C72:P72,{1,2,3,4,5,6,7,8,9,10,11,12,13,14})/AVERAGEIF(C72:P72,"&gt;0"),"n/a")</f>
        <v>0.0585848110948064</v>
      </c>
      <c r="AD72" s="44" t="n">
        <f aca="false">IFERROR(SLOPE(J72:P72,{1,2,3,4,5,6,7})/AVERAGEIF(J72:P72,"&gt;0"),"n/a")</f>
        <v>-0.0675364446063411</v>
      </c>
      <c r="AE72" s="45" t="n">
        <f aca="false">IFERROR(J72/I72,"n/a")</f>
        <v>1.41541238043674</v>
      </c>
      <c r="AF72" s="46" t="n">
        <f aca="false">IFERROR(J72/H72,"n/a")</f>
        <v>1.48319572922971</v>
      </c>
      <c r="AG72" s="46" t="n">
        <v>0.853723980467643</v>
      </c>
      <c r="AH72" s="47" t="s">
        <v>136</v>
      </c>
      <c r="AI72" s="48" t="n">
        <v>0.05</v>
      </c>
      <c r="AJ72" s="49" t="s">
        <v>137</v>
      </c>
    </row>
    <row r="73" customFormat="false" ht="16.5" hidden="false" customHeight="true" outlineLevel="0" collapsed="false">
      <c r="A73" s="95" t="s">
        <v>210</v>
      </c>
      <c r="B73" s="96" t="s">
        <v>211</v>
      </c>
      <c r="C73" s="30" t="n">
        <v>3492</v>
      </c>
      <c r="D73" s="30" t="n">
        <v>1317</v>
      </c>
      <c r="E73" s="30" t="n">
        <v>1458</v>
      </c>
      <c r="F73" s="30" t="n">
        <v>10573</v>
      </c>
      <c r="G73" s="30" t="n">
        <v>17742</v>
      </c>
      <c r="H73" s="30" t="n">
        <v>15799</v>
      </c>
      <c r="I73" s="30" t="n">
        <v>16840</v>
      </c>
      <c r="J73" s="31" t="n">
        <v>15152</v>
      </c>
      <c r="K73" s="31" t="n">
        <v>28212</v>
      </c>
      <c r="L73" s="31" t="n">
        <v>40559</v>
      </c>
      <c r="M73" s="31" t="n">
        <v>55187</v>
      </c>
      <c r="N73" s="31" t="n">
        <v>58699</v>
      </c>
      <c r="O73" s="31" t="n">
        <v>90139</v>
      </c>
      <c r="P73" s="31" t="n">
        <v>214863</v>
      </c>
      <c r="Q73" s="32" t="n">
        <v>58699</v>
      </c>
      <c r="R73" s="33" t="n">
        <f aca="false">IFERROR(AVERAGEIF(C73:I73,"&gt;0"),0)</f>
        <v>9603</v>
      </c>
      <c r="S73" s="34" t="n">
        <f aca="false">IFERROR(AVERAGEIF(J73:P73,"&gt;0"),0)</f>
        <v>71830.1428571429</v>
      </c>
      <c r="T73" s="88" t="n">
        <f aca="false">S73-R73</f>
        <v>62227.1428571429</v>
      </c>
      <c r="U73" s="51" t="n">
        <f aca="false">IFERROR(S73/R73,"n/a")</f>
        <v>7.47996905728865</v>
      </c>
      <c r="V73" s="69" t="n">
        <f aca="false">IFERROR(S73/$C$3,0)</f>
        <v>0.000208051933007709</v>
      </c>
      <c r="W73" s="69" t="n">
        <f aca="false">IFERROR(T73/$D$4,0)</f>
        <v>0.000424762061675734</v>
      </c>
      <c r="X73" s="73" t="n">
        <f aca="false">IFERROR((V73+W73)/2,0)</f>
        <v>0.000316406997341722</v>
      </c>
      <c r="Y73" s="66" t="n">
        <v>0.997457554279683</v>
      </c>
      <c r="Z73" s="59" t="n">
        <f aca="false">IFERROR(POWER(P73/C73,1/13)-1,"n/a")</f>
        <v>0.372846901031965</v>
      </c>
      <c r="AA73" s="59" t="n">
        <f aca="false">IFERROR(POWER(P73/J73,1/6)-1,"n/a")</f>
        <v>0.55578153342073</v>
      </c>
      <c r="AB73" s="70" t="n">
        <f aca="false">IFERROR(AA73-Z73,"n/a")</f>
        <v>0.182934632388765</v>
      </c>
      <c r="AC73" s="43" t="n">
        <f aca="false">IFERROR(SLOPE(C73:P73,{1,2,3,4,5,6,7,8,9,10,11,12,13,14})/AVERAGEIF(C73:P73,"&gt;0"),"n/a")</f>
        <v>0.253803187297447</v>
      </c>
      <c r="AD73" s="43" t="n">
        <f aca="false">IFERROR(SLOPE(J73:P73,{1,2,3,4,5,6,7})/AVERAGEIF(J73:P73,"&gt;0"),"n/a")</f>
        <v>0.368491838881807</v>
      </c>
      <c r="AE73" s="46" t="n">
        <f aca="false">IFERROR(J73/I73,"n/a")</f>
        <v>0.899762470308789</v>
      </c>
      <c r="AF73" s="46" t="n">
        <f aca="false">IFERROR(J73/H73,"n/a")</f>
        <v>0.959048041015254</v>
      </c>
      <c r="AG73" s="56" t="n">
        <v>1.6877826194468</v>
      </c>
      <c r="AH73" s="47" t="s">
        <v>132</v>
      </c>
      <c r="AI73" s="48" t="n">
        <v>0.075</v>
      </c>
      <c r="AJ73" s="49" t="s">
        <v>133</v>
      </c>
    </row>
    <row r="74" customFormat="false" ht="16.5" hidden="false" customHeight="true" outlineLevel="0" collapsed="false">
      <c r="A74" s="95" t="s">
        <v>165</v>
      </c>
      <c r="B74" s="96" t="s">
        <v>166</v>
      </c>
      <c r="C74" s="50" t="s">
        <v>89</v>
      </c>
      <c r="D74" s="30" t="n">
        <v>2291</v>
      </c>
      <c r="E74" s="30" t="n">
        <v>2617</v>
      </c>
      <c r="F74" s="30" t="n">
        <v>1688</v>
      </c>
      <c r="G74" s="30" t="n">
        <v>66</v>
      </c>
      <c r="H74" s="30" t="n">
        <v>3800</v>
      </c>
      <c r="I74" s="30" t="n">
        <v>2283</v>
      </c>
      <c r="J74" s="31" t="n">
        <v>245</v>
      </c>
      <c r="K74" s="31" t="n">
        <v>142790</v>
      </c>
      <c r="L74" s="50" t="s">
        <v>89</v>
      </c>
      <c r="M74" s="31" t="n">
        <v>36803</v>
      </c>
      <c r="N74" s="31" t="n">
        <v>84579</v>
      </c>
      <c r="O74" s="31" t="n">
        <v>69273</v>
      </c>
      <c r="P74" s="31" t="n">
        <v>50915</v>
      </c>
      <c r="Q74" s="32" t="n">
        <v>84579</v>
      </c>
      <c r="R74" s="33" t="n">
        <f aca="false">IFERROR(AVERAGEIF(C74:I74,"&gt;0"),0)</f>
        <v>2124.16666666667</v>
      </c>
      <c r="S74" s="34" t="n">
        <f aca="false">IFERROR(AVERAGEIF(J74:P74,"&gt;0"),0)</f>
        <v>64100.8333333333</v>
      </c>
      <c r="T74" s="88" t="n">
        <f aca="false">S74-R74</f>
        <v>61976.6666666667</v>
      </c>
      <c r="U74" s="51" t="n">
        <f aca="false">IFERROR(S74/R74,"n/a")</f>
        <v>30.1769321302472</v>
      </c>
      <c r="V74" s="69" t="n">
        <f aca="false">IFERROR(S74/$C$3,0)</f>
        <v>0.000185664426547619</v>
      </c>
      <c r="W74" s="69" t="n">
        <f aca="false">IFERROR(T74/$D$4,0)</f>
        <v>0.000423052312871879</v>
      </c>
      <c r="X74" s="73" t="n">
        <f aca="false">IFERROR((V74+W74)/2,0)</f>
        <v>0.000304358369709749</v>
      </c>
      <c r="Y74" s="66" t="n">
        <v>0.997763862822532</v>
      </c>
      <c r="Z74" s="59" t="str">
        <f aca="false">IFERROR(POWER(P74/C74,1/13)-1,"n/a")</f>
        <v>n/a</v>
      </c>
      <c r="AA74" s="59" t="n">
        <f aca="false">IFERROR(POWER(P74/J74,1/6)-1,"n/a")</f>
        <v>1.43377230048666</v>
      </c>
      <c r="AB74" s="70" t="str">
        <f aca="false">IFERROR(AA74-Z74,"n/a")</f>
        <v>n/a</v>
      </c>
      <c r="AC74" s="43" t="n">
        <f aca="false">IFERROR(SLOPE(C74:P74,{1,2,3,4,5,6,7,8,9,10,11,12,13,14})/AVERAGEIF(C74:P74,"&gt;0"),"n/a")</f>
        <v>0.215185056911986</v>
      </c>
      <c r="AD74" s="43" t="n">
        <f aca="false">IFERROR(SLOPE(J74:P74,{1,2,3,4,5,6,7})/AVERAGEIF(J74:P74,"&gt;0"),"n/a")</f>
        <v>0.0147985983199186</v>
      </c>
      <c r="AE74" s="46" t="n">
        <f aca="false">IFERROR(J74/I74,"n/a")</f>
        <v>0.107314936487078</v>
      </c>
      <c r="AF74" s="46" t="n">
        <f aca="false">IFERROR(J74/H74,"n/a")</f>
        <v>0.0644736842105263</v>
      </c>
      <c r="AG74" s="56" t="n">
        <v>1.06481715006305</v>
      </c>
      <c r="AH74" s="47" t="s">
        <v>342</v>
      </c>
      <c r="AI74" s="48" t="n">
        <v>0.0385</v>
      </c>
      <c r="AJ74" s="49" t="s">
        <v>343</v>
      </c>
    </row>
    <row r="75" customFormat="false" ht="16.5" hidden="false" customHeight="true" outlineLevel="0" collapsed="false">
      <c r="A75" s="95" t="s">
        <v>128</v>
      </c>
      <c r="B75" s="96" t="s">
        <v>129</v>
      </c>
      <c r="C75" s="30" t="n">
        <v>93315</v>
      </c>
      <c r="D75" s="30" t="n">
        <v>121220</v>
      </c>
      <c r="E75" s="30" t="n">
        <v>52778</v>
      </c>
      <c r="F75" s="30" t="n">
        <v>55349</v>
      </c>
      <c r="G75" s="30" t="n">
        <v>88105</v>
      </c>
      <c r="H75" s="30" t="n">
        <v>71095</v>
      </c>
      <c r="I75" s="30" t="n">
        <v>85061</v>
      </c>
      <c r="J75" s="31" t="n">
        <v>123750</v>
      </c>
      <c r="K75" s="31" t="n">
        <v>104967</v>
      </c>
      <c r="L75" s="31" t="n">
        <v>111606</v>
      </c>
      <c r="M75" s="31" t="n">
        <v>77638</v>
      </c>
      <c r="N75" s="31" t="n">
        <v>72573</v>
      </c>
      <c r="O75" s="31" t="n">
        <v>57200</v>
      </c>
      <c r="P75" s="31" t="n">
        <v>126434</v>
      </c>
      <c r="Q75" s="32" t="n">
        <v>72573</v>
      </c>
      <c r="R75" s="33" t="n">
        <f aca="false">IFERROR(AVERAGEIF(C75:I75,"&gt;0"),0)</f>
        <v>80989</v>
      </c>
      <c r="S75" s="34" t="n">
        <f aca="false">IFERROR(AVERAGEIF(J75:P75,"&gt;0"),0)</f>
        <v>96309.7142857143</v>
      </c>
      <c r="T75" s="89" t="n">
        <f aca="false">S75-R75</f>
        <v>15320.7142857143</v>
      </c>
      <c r="U75" s="68" t="n">
        <f aca="false">IFERROR(S75/R75,"n/a")</f>
        <v>1.18917031060656</v>
      </c>
      <c r="V75" s="69" t="n">
        <f aca="false">IFERROR(S75/$C$3,0)</f>
        <v>0.000278955622633437</v>
      </c>
      <c r="W75" s="69" t="n">
        <f aca="false">IFERROR(T75/$D$4,0)</f>
        <v>0.000104579093423665</v>
      </c>
      <c r="X75" s="73" t="n">
        <f aca="false">IFERROR((V75+W75)/2,0)</f>
        <v>0.000191767358028551</v>
      </c>
      <c r="Y75" s="66" t="n">
        <v>0.997958560261312</v>
      </c>
      <c r="Z75" s="40" t="n">
        <f aca="false">IFERROR(POWER(P75/C75,1/13)-1,"n/a")</f>
        <v>0.0236396721429091</v>
      </c>
      <c r="AA75" s="40" t="n">
        <f aca="false">IFERROR(POWER(P75/J75,1/6)-1,"n/a")</f>
        <v>0.00358257403803708</v>
      </c>
      <c r="AB75" s="42" t="n">
        <f aca="false">IFERROR(AA75-Z75,"n/a")</f>
        <v>-0.020057098104872</v>
      </c>
      <c r="AC75" s="43" t="n">
        <f aca="false">IFERROR(SLOPE(C75:P75,{1,2,3,4,5,6,7,8,9,10,11,12,13,14})/AVERAGEIF(C75:P75,"&gt;0"),"n/a")</f>
        <v>0.00789169181978412</v>
      </c>
      <c r="AD75" s="44" t="n">
        <f aca="false">IFERROR(SLOPE(J75:P75,{1,2,3,4,5,6,7})/AVERAGEIF(J75:P75,"&gt;0"),"n/a")</f>
        <v>-0.0469152347782749</v>
      </c>
      <c r="AE75" s="45" t="n">
        <f aca="false">IFERROR(J75/I75,"n/a")</f>
        <v>1.45483829251949</v>
      </c>
      <c r="AF75" s="71" t="n">
        <f aca="false">IFERROR(J75/H75,"n/a")</f>
        <v>1.74062873619804</v>
      </c>
      <c r="AG75" s="46" t="n">
        <v>0.886746824728159</v>
      </c>
      <c r="AH75" s="47" t="s">
        <v>90</v>
      </c>
      <c r="AI75" s="48" t="n">
        <v>0.025</v>
      </c>
      <c r="AJ75" s="49" t="s">
        <v>91</v>
      </c>
    </row>
    <row r="76" customFormat="false" ht="16.5" hidden="false" customHeight="true" outlineLevel="0" collapsed="false">
      <c r="A76" s="95" t="s">
        <v>182</v>
      </c>
      <c r="B76" s="96" t="s">
        <v>183</v>
      </c>
      <c r="C76" s="30" t="n">
        <v>19106</v>
      </c>
      <c r="D76" s="30" t="n">
        <v>34583</v>
      </c>
      <c r="E76" s="30" t="n">
        <v>14582</v>
      </c>
      <c r="F76" s="30" t="n">
        <v>16922</v>
      </c>
      <c r="G76" s="30" t="n">
        <v>52699</v>
      </c>
      <c r="H76" s="30" t="n">
        <v>15856</v>
      </c>
      <c r="I76" s="30" t="n">
        <v>27073</v>
      </c>
      <c r="J76" s="31" t="n">
        <v>30787</v>
      </c>
      <c r="K76" s="31" t="n">
        <v>35319</v>
      </c>
      <c r="L76" s="31" t="n">
        <v>38275</v>
      </c>
      <c r="M76" s="31" t="n">
        <v>59647</v>
      </c>
      <c r="N76" s="31" t="n">
        <v>68345</v>
      </c>
      <c r="O76" s="31" t="n">
        <v>54597</v>
      </c>
      <c r="P76" s="31" t="n">
        <v>104760</v>
      </c>
      <c r="Q76" s="32" t="n">
        <v>68345</v>
      </c>
      <c r="R76" s="33" t="n">
        <f aca="false">IFERROR(AVERAGEIF(C76:I76,"&gt;0"),0)</f>
        <v>25831.5714285714</v>
      </c>
      <c r="S76" s="34" t="n">
        <f aca="false">IFERROR(AVERAGEIF(J76:P76,"&gt;0"),0)</f>
        <v>55961.4285714286</v>
      </c>
      <c r="T76" s="89" t="n">
        <f aca="false">S76-R76</f>
        <v>30129.8571428571</v>
      </c>
      <c r="U76" s="51" t="n">
        <f aca="false">IFERROR(S76/R76,"n/a")</f>
        <v>2.16639660216457</v>
      </c>
      <c r="V76" s="69" t="n">
        <f aca="false">IFERROR(S76/$C$3,0)</f>
        <v>0.000162089102499965</v>
      </c>
      <c r="W76" s="69" t="n">
        <f aca="false">IFERROR(T76/$D$4,0)</f>
        <v>0.00020566620369147</v>
      </c>
      <c r="X76" s="73" t="n">
        <f aca="false">IFERROR((V76+W76)/2,0)</f>
        <v>0.000183877653095717</v>
      </c>
      <c r="Y76" s="66" t="n">
        <v>0.998144140458184</v>
      </c>
      <c r="Z76" s="53" t="n">
        <f aca="false">IFERROR(POWER(P76/C76,1/13)-1,"n/a")</f>
        <v>0.139851124538751</v>
      </c>
      <c r="AA76" s="59" t="n">
        <f aca="false">IFERROR(POWER(P76/J76,1/6)-1,"n/a")</f>
        <v>0.226416598461175</v>
      </c>
      <c r="AB76" s="57" t="n">
        <f aca="false">IFERROR(AA76-Z76,"n/a")</f>
        <v>0.0865654739224242</v>
      </c>
      <c r="AC76" s="43" t="n">
        <f aca="false">IFERROR(SLOPE(C76:P76,{1,2,3,4,5,6,7,8,9,10,11,12,13,14})/AVERAGEIF(C76:P76,"&gt;0"),"n/a")</f>
        <v>0.113208914006048</v>
      </c>
      <c r="AD76" s="43" t="n">
        <f aca="false">IFERROR(SLOPE(J76:P76,{1,2,3,4,5,6,7})/AVERAGEIF(J76:P76,"&gt;0"),"n/a")</f>
        <v>0.185424271819876</v>
      </c>
      <c r="AE76" s="45" t="n">
        <f aca="false">IFERROR(J76/I76,"n/a")</f>
        <v>1.1371846489122</v>
      </c>
      <c r="AF76" s="71" t="n">
        <f aca="false">IFERROR(J76/H76,"n/a")</f>
        <v>1.94166246215944</v>
      </c>
      <c r="AG76" s="56" t="n">
        <v>1.35630323607247</v>
      </c>
      <c r="AH76" s="47" t="s">
        <v>337</v>
      </c>
      <c r="AI76" s="48" t="n">
        <v>0.0235</v>
      </c>
      <c r="AJ76" s="49" t="s">
        <v>338</v>
      </c>
    </row>
    <row r="77" customFormat="false" ht="16.5" hidden="false" customHeight="true" outlineLevel="0" collapsed="false">
      <c r="A77" s="95" t="s">
        <v>242</v>
      </c>
      <c r="B77" s="96" t="s">
        <v>243</v>
      </c>
      <c r="C77" s="30" t="n">
        <v>28568</v>
      </c>
      <c r="D77" s="30" t="n">
        <v>22818</v>
      </c>
      <c r="E77" s="30" t="n">
        <v>95710</v>
      </c>
      <c r="F77" s="30" t="n">
        <v>122778</v>
      </c>
      <c r="G77" s="30" t="n">
        <v>82245</v>
      </c>
      <c r="H77" s="30" t="n">
        <v>195004</v>
      </c>
      <c r="I77" s="30" t="n">
        <v>61124</v>
      </c>
      <c r="J77" s="31" t="n">
        <v>73432</v>
      </c>
      <c r="K77" s="31" t="n">
        <v>65805</v>
      </c>
      <c r="L77" s="31" t="n">
        <v>101506</v>
      </c>
      <c r="M77" s="31" t="n">
        <v>53900</v>
      </c>
      <c r="N77" s="31" t="n">
        <v>88406</v>
      </c>
      <c r="O77" s="31" t="n">
        <v>116343</v>
      </c>
      <c r="P77" s="31" t="n">
        <v>125518</v>
      </c>
      <c r="Q77" s="32" t="n">
        <v>88406</v>
      </c>
      <c r="R77" s="33" t="n">
        <f aca="false">IFERROR(AVERAGEIF(C77:I77,"&gt;0"),0)</f>
        <v>86892.4285714286</v>
      </c>
      <c r="S77" s="34" t="n">
        <f aca="false">IFERROR(AVERAGEIF(J77:P77,"&gt;0"),0)</f>
        <v>89272.8571428571</v>
      </c>
      <c r="T77" s="89" t="n">
        <f aca="false">S77-R77</f>
        <v>2380.42857142858</v>
      </c>
      <c r="U77" s="68" t="n">
        <f aca="false">IFERROR(S77/R77,"n/a")</f>
        <v>1.0273951207322</v>
      </c>
      <c r="V77" s="69" t="n">
        <f aca="false">IFERROR(S77/$C$3,0)</f>
        <v>0.00025857376520372</v>
      </c>
      <c r="W77" s="69" t="n">
        <f aca="false">IFERROR(T77/$D$4,0)</f>
        <v>1.62487895353493E-005</v>
      </c>
      <c r="X77" s="73" t="n">
        <f aca="false">IFERROR((V77+W77)/2,0)</f>
        <v>0.000137411277369534</v>
      </c>
      <c r="Y77" s="66" t="n">
        <v>0.998284267730323</v>
      </c>
      <c r="Z77" s="53" t="n">
        <f aca="false">IFERROR(POWER(P77/C77,1/13)-1,"n/a")</f>
        <v>0.120593675899016</v>
      </c>
      <c r="AA77" s="53" t="n">
        <f aca="false">IFERROR(POWER(P77/J77,1/6)-1,"n/a")</f>
        <v>0.0934613636565524</v>
      </c>
      <c r="AB77" s="42" t="n">
        <f aca="false">IFERROR(AA77-Z77,"n/a")</f>
        <v>-0.0271323122424636</v>
      </c>
      <c r="AC77" s="43" t="n">
        <f aca="false">IFERROR(SLOPE(C77:P77,{1,2,3,4,5,6,7,8,9,10,11,12,13,14})/AVERAGEIF(C77:P77,"&gt;0"),"n/a")</f>
        <v>0.0364856904801129</v>
      </c>
      <c r="AD77" s="43" t="n">
        <f aca="false">IFERROR(SLOPE(J77:P77,{1,2,3,4,5,6,7})/AVERAGEIF(J77:P77,"&gt;0"),"n/a")</f>
        <v>0.0977076699044662</v>
      </c>
      <c r="AE77" s="45" t="n">
        <f aca="false">IFERROR(J77/I77,"n/a")</f>
        <v>1.20136116746286</v>
      </c>
      <c r="AF77" s="46" t="n">
        <f aca="false">IFERROR(J77/H77,"n/a")</f>
        <v>0.376566634530574</v>
      </c>
      <c r="AG77" s="56" t="n">
        <v>1.2331743771103</v>
      </c>
      <c r="AH77" s="47" t="s">
        <v>353</v>
      </c>
      <c r="AI77" s="48" t="n">
        <v>0.1</v>
      </c>
      <c r="AJ77" s="61" t="s">
        <v>191</v>
      </c>
    </row>
    <row r="78" customFormat="false" ht="16.5" hidden="false" customHeight="true" outlineLevel="0" collapsed="false">
      <c r="A78" s="95" t="s">
        <v>318</v>
      </c>
      <c r="B78" s="96" t="s">
        <v>319</v>
      </c>
      <c r="C78" s="50" t="s">
        <v>89</v>
      </c>
      <c r="D78" s="30" t="n">
        <v>321</v>
      </c>
      <c r="E78" s="50" t="s">
        <v>89</v>
      </c>
      <c r="F78" s="50" t="s">
        <v>89</v>
      </c>
      <c r="G78" s="50" t="s">
        <v>89</v>
      </c>
      <c r="H78" s="50" t="s">
        <v>89</v>
      </c>
      <c r="I78" s="50" t="s">
        <v>89</v>
      </c>
      <c r="J78" s="50" t="s">
        <v>89</v>
      </c>
      <c r="K78" s="50" t="s">
        <v>89</v>
      </c>
      <c r="L78" s="31" t="n">
        <v>28296</v>
      </c>
      <c r="M78" s="31" t="n">
        <v>30165</v>
      </c>
      <c r="N78" s="31" t="n">
        <v>5117</v>
      </c>
      <c r="O78" s="31" t="n">
        <v>36159</v>
      </c>
      <c r="P78" s="31" t="n">
        <v>31491</v>
      </c>
      <c r="Q78" s="32" t="n">
        <v>5117</v>
      </c>
      <c r="R78" s="33" t="n">
        <f aca="false">IFERROR(AVERAGEIF(C78:I78,"&gt;0"),0)</f>
        <v>321</v>
      </c>
      <c r="S78" s="34" t="n">
        <f aca="false">IFERROR(AVERAGEIF(J78:P78,"&gt;0"),0)</f>
        <v>26245.6</v>
      </c>
      <c r="T78" s="89" t="n">
        <f aca="false">S78-R78</f>
        <v>25924.6</v>
      </c>
      <c r="U78" s="51" t="n">
        <f aca="false">IFERROR(S78/R78,"n/a")</f>
        <v>81.7619937694704</v>
      </c>
      <c r="V78" s="69" t="n">
        <f aca="false">IFERROR(S78/$C$3,0)</f>
        <v>7.60188911750735E-005</v>
      </c>
      <c r="W78" s="69" t="n">
        <f aca="false">IFERROR(T78/$D$4,0)</f>
        <v>0.00017696114651124</v>
      </c>
      <c r="X78" s="73" t="n">
        <f aca="false">IFERROR((V78+W78)/2,0)</f>
        <v>0.000126490018843157</v>
      </c>
      <c r="Y78" s="66" t="n">
        <v>0.998411556232766</v>
      </c>
      <c r="Z78" s="59" t="str">
        <f aca="false">IFERROR(POWER(P78/C78,1/13)-1,"n/a")</f>
        <v>n/a</v>
      </c>
      <c r="AA78" s="40" t="str">
        <f aca="false">IFERROR(POWER(P78/J78,1/6)-1,"n/a")</f>
        <v>n/a</v>
      </c>
      <c r="AB78" s="42" t="str">
        <f aca="false">IFERROR(AA78-Z78,"n/a")</f>
        <v>n/a</v>
      </c>
      <c r="AC78" s="43" t="n">
        <f aca="false">IFERROR(SLOPE(C78:P78,{1,2,3,4,5,6,7,8,9,10,11,12,13,14})/AVERAGEIF(C78:P78,"&gt;0"),"n/a")</f>
        <v>0.111626031799123</v>
      </c>
      <c r="AD78" s="43" t="n">
        <f aca="false">IFERROR(SLOPE(J78:P78,{1,2,3,4,5,6,7})/AVERAGEIF(J78:P78,"&gt;0"),"n/a")</f>
        <v>0.047185051970616</v>
      </c>
      <c r="AE78" s="46" t="str">
        <f aca="false">IFERROR(J78/I78,"n/a")</f>
        <v>n/a</v>
      </c>
      <c r="AF78" s="46" t="str">
        <f aca="false">IFERROR(J78/H78,"n/a")</f>
        <v>n/a</v>
      </c>
      <c r="AG78" s="46" t="n">
        <v>0.924180307048293</v>
      </c>
      <c r="AH78" s="47" t="s">
        <v>90</v>
      </c>
      <c r="AI78" s="48" t="n">
        <v>0.025</v>
      </c>
      <c r="AJ78" s="49" t="s">
        <v>91</v>
      </c>
    </row>
    <row r="79" customFormat="false" ht="16.5" hidden="false" customHeight="true" outlineLevel="0" collapsed="false">
      <c r="A79" s="95" t="s">
        <v>264</v>
      </c>
      <c r="B79" s="96" t="s">
        <v>265</v>
      </c>
      <c r="C79" s="30" t="n">
        <v>330</v>
      </c>
      <c r="D79" s="30" t="n">
        <v>979</v>
      </c>
      <c r="E79" s="30" t="n">
        <v>9465</v>
      </c>
      <c r="F79" s="30" t="n">
        <v>3173</v>
      </c>
      <c r="G79" s="30" t="n">
        <v>4197</v>
      </c>
      <c r="H79" s="30" t="n">
        <v>6549</v>
      </c>
      <c r="I79" s="30" t="n">
        <v>1902</v>
      </c>
      <c r="J79" s="31" t="n">
        <v>4527</v>
      </c>
      <c r="K79" s="31" t="n">
        <v>3334</v>
      </c>
      <c r="L79" s="31" t="n">
        <v>1985</v>
      </c>
      <c r="M79" s="31" t="n">
        <v>5498</v>
      </c>
      <c r="N79" s="31" t="n">
        <v>15370</v>
      </c>
      <c r="O79" s="31" t="n">
        <v>72595</v>
      </c>
      <c r="P79" s="31" t="n">
        <v>95559</v>
      </c>
      <c r="Q79" s="32" t="n">
        <v>15370</v>
      </c>
      <c r="R79" s="33" t="n">
        <f aca="false">IFERROR(AVERAGEIF(C79:I79,"&gt;0"),0)</f>
        <v>3799.28571428571</v>
      </c>
      <c r="S79" s="34" t="n">
        <f aca="false">IFERROR(AVERAGEIF(J79:P79,"&gt;0"),0)</f>
        <v>28409.7142857143</v>
      </c>
      <c r="T79" s="89" t="n">
        <f aca="false">S79-R79</f>
        <v>24610.4285714286</v>
      </c>
      <c r="U79" s="51" t="n">
        <f aca="false">IFERROR(S79/R79,"n/a")</f>
        <v>7.47764617409288</v>
      </c>
      <c r="V79" s="69" t="n">
        <f aca="false">IFERROR(S79/$C$3,0)</f>
        <v>8.2287125407712E-005</v>
      </c>
      <c r="W79" s="69" t="n">
        <f aca="false">IFERROR(T79/$D$4,0)</f>
        <v>0.000167990621114038</v>
      </c>
      <c r="X79" s="73" t="n">
        <f aca="false">IFERROR((V79+W79)/2,0)</f>
        <v>0.000125138873260875</v>
      </c>
      <c r="Y79" s="66" t="n">
        <v>0.998537559429606</v>
      </c>
      <c r="Z79" s="59" t="n">
        <f aca="false">IFERROR(POWER(P79/C79,1/13)-1,"n/a")</f>
        <v>0.546557151539534</v>
      </c>
      <c r="AA79" s="59" t="n">
        <f aca="false">IFERROR(POWER(P79/J79,1/6)-1,"n/a")</f>
        <v>0.662430572133668</v>
      </c>
      <c r="AB79" s="70" t="n">
        <f aca="false">IFERROR(AA79-Z79,"n/a")</f>
        <v>0.115873420594135</v>
      </c>
      <c r="AC79" s="43" t="n">
        <f aca="false">IFERROR(SLOPE(C79:P79,{1,2,3,4,5,6,7,8,9,10,11,12,13,14})/AVERAGEIF(C79:P79,"&gt;0"),"n/a")</f>
        <v>0.283463600884198</v>
      </c>
      <c r="AD79" s="43" t="n">
        <f aca="false">IFERROR(SLOPE(J79:P79,{1,2,3,4,5,6,7})/AVERAGEIF(J79:P79,"&gt;0"),"n/a")</f>
        <v>0.534277762133677</v>
      </c>
      <c r="AE79" s="83" t="n">
        <f aca="false">IFERROR(J79/I79,"n/a")</f>
        <v>2.3801261829653</v>
      </c>
      <c r="AF79" s="46" t="n">
        <f aca="false">IFERROR(J79/H79,"n/a")</f>
        <v>0.691250572606505</v>
      </c>
      <c r="AG79" s="56" t="n">
        <v>2.15330101709006</v>
      </c>
      <c r="AH79" s="47" t="s">
        <v>354</v>
      </c>
      <c r="AI79" s="48" t="n">
        <v>0.1</v>
      </c>
      <c r="AJ79" s="61" t="s">
        <v>191</v>
      </c>
    </row>
    <row r="80" customFormat="false" ht="16.5" hidden="false" customHeight="true" outlineLevel="0" collapsed="false">
      <c r="A80" s="95" t="s">
        <v>130</v>
      </c>
      <c r="B80" s="96" t="s">
        <v>131</v>
      </c>
      <c r="C80" s="30" t="n">
        <v>10567</v>
      </c>
      <c r="D80" s="30" t="n">
        <v>16845</v>
      </c>
      <c r="E80" s="30" t="n">
        <v>14012</v>
      </c>
      <c r="F80" s="30" t="n">
        <v>8687</v>
      </c>
      <c r="G80" s="30" t="n">
        <v>54535</v>
      </c>
      <c r="H80" s="30" t="n">
        <v>15683</v>
      </c>
      <c r="I80" s="30" t="n">
        <v>22015</v>
      </c>
      <c r="J80" s="31" t="n">
        <v>7627</v>
      </c>
      <c r="K80" s="31" t="n">
        <v>12399</v>
      </c>
      <c r="L80" s="31" t="n">
        <v>46869</v>
      </c>
      <c r="M80" s="31" t="n">
        <v>31710</v>
      </c>
      <c r="N80" s="31" t="n">
        <v>63386</v>
      </c>
      <c r="O80" s="31" t="n">
        <v>22679</v>
      </c>
      <c r="P80" s="31" t="n">
        <v>74151</v>
      </c>
      <c r="Q80" s="32" t="n">
        <v>63386</v>
      </c>
      <c r="R80" s="33" t="n">
        <f aca="false">IFERROR(AVERAGEIF(C80:I80,"&gt;0"),0)</f>
        <v>20334.8571428571</v>
      </c>
      <c r="S80" s="34" t="n">
        <f aca="false">IFERROR(AVERAGEIF(J80:P80,"&gt;0"),0)</f>
        <v>36974.4285714286</v>
      </c>
      <c r="T80" s="89" t="n">
        <f aca="false">S80-R80</f>
        <v>16639.5714285714</v>
      </c>
      <c r="U80" s="36" t="n">
        <f aca="false">IFERROR(S80/R80,"n/a")</f>
        <v>1.81827825549373</v>
      </c>
      <c r="V80" s="69" t="n">
        <f aca="false">IFERROR(S80/$C$3,0)</f>
        <v>0.000107094334358215</v>
      </c>
      <c r="W80" s="69" t="n">
        <f aca="false">IFERROR(T80/$D$4,0)</f>
        <v>0.000113581603475297</v>
      </c>
      <c r="X80" s="73" t="n">
        <f aca="false">IFERROR((V80+W80)/2,0)</f>
        <v>0.000110337968916756</v>
      </c>
      <c r="Y80" s="66" t="n">
        <v>0.998649022290879</v>
      </c>
      <c r="Z80" s="53" t="n">
        <f aca="false">IFERROR(POWER(P80/C80,1/13)-1,"n/a")</f>
        <v>0.161688362793412</v>
      </c>
      <c r="AA80" s="59" t="n">
        <f aca="false">IFERROR(POWER(P80/J80,1/6)-1,"n/a")</f>
        <v>0.460922611632036</v>
      </c>
      <c r="AB80" s="70" t="n">
        <f aca="false">IFERROR(AA80-Z80,"n/a")</f>
        <v>0.299234248838623</v>
      </c>
      <c r="AC80" s="43" t="n">
        <f aca="false">IFERROR(SLOPE(C80:P80,{1,2,3,4,5,6,7,8,9,10,11,12,13,14})/AVERAGEIF(C80:P80,"&gt;0"),"n/a")</f>
        <v>0.109966108324888</v>
      </c>
      <c r="AD80" s="43" t="n">
        <f aca="false">IFERROR(SLOPE(J80:P80,{1,2,3,4,5,6,7})/AVERAGEIF(J80:P80,"&gt;0"),"n/a")</f>
        <v>0.228583654340258</v>
      </c>
      <c r="AE80" s="46" t="n">
        <f aca="false">IFERROR(J80/I80,"n/a")</f>
        <v>0.346445605269135</v>
      </c>
      <c r="AF80" s="46" t="n">
        <f aca="false">IFERROR(J80/H80,"n/a")</f>
        <v>0.486322769878212</v>
      </c>
      <c r="AG80" s="56" t="n">
        <v>1.44438563073836</v>
      </c>
      <c r="AH80" s="47" t="s">
        <v>190</v>
      </c>
      <c r="AI80" s="48" t="n">
        <v>0.1</v>
      </c>
      <c r="AJ80" s="61" t="s">
        <v>191</v>
      </c>
    </row>
    <row r="81" customFormat="false" ht="16.5" hidden="false" customHeight="true" outlineLevel="0" collapsed="false">
      <c r="A81" s="95" t="s">
        <v>146</v>
      </c>
      <c r="B81" s="96" t="s">
        <v>147</v>
      </c>
      <c r="C81" s="30" t="n">
        <v>19613</v>
      </c>
      <c r="D81" s="30" t="n">
        <v>26356</v>
      </c>
      <c r="E81" s="30" t="n">
        <v>44279</v>
      </c>
      <c r="F81" s="30" t="n">
        <v>57911</v>
      </c>
      <c r="G81" s="30" t="n">
        <v>45911</v>
      </c>
      <c r="H81" s="30" t="n">
        <v>54926</v>
      </c>
      <c r="I81" s="30" t="n">
        <v>62440</v>
      </c>
      <c r="J81" s="31" t="n">
        <v>69797</v>
      </c>
      <c r="K81" s="31" t="n">
        <v>40217</v>
      </c>
      <c r="L81" s="31" t="n">
        <v>77378</v>
      </c>
      <c r="M81" s="31" t="n">
        <v>49591</v>
      </c>
      <c r="N81" s="31" t="n">
        <v>39107</v>
      </c>
      <c r="O81" s="31" t="n">
        <v>55188</v>
      </c>
      <c r="P81" s="31" t="n">
        <v>44732</v>
      </c>
      <c r="Q81" s="32" t="n">
        <v>39107</v>
      </c>
      <c r="R81" s="33" t="n">
        <f aca="false">IFERROR(AVERAGEIF(C81:I81,"&gt;0"),0)</f>
        <v>44490.8571428571</v>
      </c>
      <c r="S81" s="34" t="n">
        <f aca="false">IFERROR(AVERAGEIF(J81:P81,"&gt;0"),0)</f>
        <v>53715.7142857143</v>
      </c>
      <c r="T81" s="89" t="n">
        <f aca="false">S81-R81</f>
        <v>9224.85714285714</v>
      </c>
      <c r="U81" s="36" t="n">
        <f aca="false">IFERROR(S81/R81,"n/a")</f>
        <v>1.2073427606314</v>
      </c>
      <c r="V81" s="69" t="n">
        <f aca="false">IFERROR(S81/$C$3,0)</f>
        <v>0.000155584518497465</v>
      </c>
      <c r="W81" s="69" t="n">
        <f aca="false">IFERROR(T81/$D$4,0)</f>
        <v>6.29688132662569E-005</v>
      </c>
      <c r="X81" s="73" t="n">
        <f aca="false">IFERROR((V81+W81)/2,0)</f>
        <v>0.000109276665881861</v>
      </c>
      <c r="Y81" s="66" t="n">
        <v>0.998759933177999</v>
      </c>
      <c r="Z81" s="53" t="n">
        <f aca="false">IFERROR(POWER(P81/C81,1/13)-1,"n/a")</f>
        <v>0.0654772374135375</v>
      </c>
      <c r="AA81" s="41" t="n">
        <f aca="false">IFERROR(POWER(P81/J81,1/6)-1,"n/a")</f>
        <v>-0.0714678904601181</v>
      </c>
      <c r="AB81" s="42" t="n">
        <f aca="false">IFERROR(AA81-Z81,"n/a")</f>
        <v>-0.136945127873656</v>
      </c>
      <c r="AC81" s="43" t="n">
        <f aca="false">IFERROR(SLOPE(C81:P81,{1,2,3,4,5,6,7,8,9,10,11,12,13,14})/AVERAGEIF(C81:P81,"&gt;0"),"n/a")</f>
        <v>0.0295173282421735</v>
      </c>
      <c r="AD81" s="44" t="n">
        <f aca="false">IFERROR(SLOPE(J81:P81,{1,2,3,4,5,6,7})/AVERAGEIF(J81:P81,"&gt;0"),"n/a")</f>
        <v>-0.055533097524002</v>
      </c>
      <c r="AE81" s="45" t="n">
        <f aca="false">IFERROR(J81/I81,"n/a")</f>
        <v>1.11782511210762</v>
      </c>
      <c r="AF81" s="46" t="n">
        <f aca="false">IFERROR(J81/H81,"n/a")</f>
        <v>1.27074609474566</v>
      </c>
      <c r="AG81" s="46" t="n">
        <v>0.862733260640231</v>
      </c>
      <c r="AH81" s="47" t="s">
        <v>353</v>
      </c>
      <c r="AI81" s="48" t="n">
        <v>0.1</v>
      </c>
      <c r="AJ81" s="61" t="s">
        <v>191</v>
      </c>
    </row>
    <row r="82" customFormat="false" ht="16.5" hidden="false" customHeight="true" outlineLevel="0" collapsed="false">
      <c r="A82" s="95" t="s">
        <v>224</v>
      </c>
      <c r="B82" s="96" t="s">
        <v>225</v>
      </c>
      <c r="C82" s="30" t="n">
        <v>5</v>
      </c>
      <c r="D82" s="30" t="n">
        <v>61</v>
      </c>
      <c r="E82" s="30" t="n">
        <v>1126</v>
      </c>
      <c r="F82" s="30" t="n">
        <v>985</v>
      </c>
      <c r="G82" s="30" t="n">
        <v>500</v>
      </c>
      <c r="H82" s="30" t="n">
        <v>40</v>
      </c>
      <c r="I82" s="30" t="n">
        <v>6</v>
      </c>
      <c r="J82" s="50" t="s">
        <v>89</v>
      </c>
      <c r="K82" s="50" t="s">
        <v>89</v>
      </c>
      <c r="L82" s="31" t="n">
        <v>213</v>
      </c>
      <c r="M82" s="31" t="n">
        <v>273</v>
      </c>
      <c r="N82" s="31" t="n">
        <v>532</v>
      </c>
      <c r="O82" s="31" t="n">
        <v>26039</v>
      </c>
      <c r="P82" s="31" t="n">
        <v>86159</v>
      </c>
      <c r="Q82" s="32" t="n">
        <v>532</v>
      </c>
      <c r="R82" s="33" t="n">
        <f aca="false">IFERROR(AVERAGEIF(C82:I82,"&gt;0"),0)</f>
        <v>389</v>
      </c>
      <c r="S82" s="34" t="n">
        <f aca="false">IFERROR(AVERAGEIF(J82:P82,"&gt;0"),0)</f>
        <v>22643.2</v>
      </c>
      <c r="T82" s="89" t="n">
        <f aca="false">S82-R82</f>
        <v>22254.2</v>
      </c>
      <c r="U82" s="51" t="n">
        <f aca="false">IFERROR(S82/R82,"n/a")</f>
        <v>58.2087403598972</v>
      </c>
      <c r="V82" s="69" t="n">
        <f aca="false">IFERROR(S82/$C$3,0)</f>
        <v>6.55847439820551E-005</v>
      </c>
      <c r="W82" s="69" t="n">
        <f aca="false">IFERROR(T82/$D$4,0)</f>
        <v>0.000151907020617114</v>
      </c>
      <c r="X82" s="73" t="n">
        <f aca="false">IFERROR((V82+W82)/2,0)</f>
        <v>0.000108745882299585</v>
      </c>
      <c r="Y82" s="66" t="n">
        <v>0.998869367946201</v>
      </c>
      <c r="Z82" s="59" t="n">
        <f aca="false">IFERROR(POWER(P82/C82,1/13)-1,"n/a")</f>
        <v>1.11773487227037</v>
      </c>
      <c r="AA82" s="59" t="str">
        <f aca="false">IFERROR(POWER(P82/J82,1/6)-1,"n/a")</f>
        <v>n/a</v>
      </c>
      <c r="AB82" s="70" t="str">
        <f aca="false">IFERROR(AA82-Z82,"n/a")</f>
        <v>n/a</v>
      </c>
      <c r="AC82" s="43" t="n">
        <f aca="false">IFERROR(SLOPE(C82:P82,{1,2,3,4,5,6,7,8,9,10,11,12,13,14})/AVERAGEIF(C82:P82,"&gt;0"),"n/a")</f>
        <v>0.329975987833365</v>
      </c>
      <c r="AD82" s="43" t="n">
        <f aca="false">IFERROR(SLOPE(J82:P82,{1,2,3,4,5,6,7})/AVERAGEIF(J82:P82,"&gt;0"),"n/a")</f>
        <v>0.87292432165065</v>
      </c>
      <c r="AE82" s="46" t="str">
        <f aca="false">IFERROR(J82/I82,"n/a")</f>
        <v>n/a</v>
      </c>
      <c r="AF82" s="46" t="str">
        <f aca="false">IFERROR(J82/H82,"n/a")</f>
        <v>n/a</v>
      </c>
      <c r="AG82" s="56" t="n">
        <v>1.65951220086678</v>
      </c>
      <c r="AH82" s="47" t="s">
        <v>132</v>
      </c>
      <c r="AI82" s="48" t="n">
        <v>0.075</v>
      </c>
      <c r="AJ82" s="49" t="s">
        <v>133</v>
      </c>
    </row>
    <row r="83" customFormat="false" ht="16.5" hidden="false" customHeight="true" outlineLevel="0" collapsed="false">
      <c r="A83" s="95" t="s">
        <v>218</v>
      </c>
      <c r="B83" s="96" t="s">
        <v>219</v>
      </c>
      <c r="C83" s="50" t="s">
        <v>89</v>
      </c>
      <c r="D83" s="50" t="s">
        <v>89</v>
      </c>
      <c r="E83" s="30" t="n">
        <v>5</v>
      </c>
      <c r="F83" s="50" t="s">
        <v>89</v>
      </c>
      <c r="G83" s="30" t="n">
        <v>3703</v>
      </c>
      <c r="H83" s="30" t="n">
        <v>4721</v>
      </c>
      <c r="I83" s="30" t="n">
        <v>3631</v>
      </c>
      <c r="J83" s="31" t="n">
        <v>4165</v>
      </c>
      <c r="K83" s="31" t="n">
        <v>4776</v>
      </c>
      <c r="L83" s="31" t="n">
        <v>5199</v>
      </c>
      <c r="M83" s="31" t="n">
        <v>3265</v>
      </c>
      <c r="N83" s="31" t="n">
        <v>140365</v>
      </c>
      <c r="O83" s="31" t="n">
        <v>4731</v>
      </c>
      <c r="P83" s="31" t="n">
        <v>8501</v>
      </c>
      <c r="Q83" s="32" t="n">
        <v>140365</v>
      </c>
      <c r="R83" s="33" t="n">
        <f aca="false">IFERROR(AVERAGEIF(C83:I83,"&gt;0"),0)</f>
        <v>3015</v>
      </c>
      <c r="S83" s="34" t="n">
        <f aca="false">IFERROR(AVERAGEIF(J83:P83,"&gt;0"),0)</f>
        <v>24428.8571428571</v>
      </c>
      <c r="T83" s="89" t="n">
        <f aca="false">S83-R83</f>
        <v>21413.8571428571</v>
      </c>
      <c r="U83" s="51" t="n">
        <f aca="false">IFERROR(S83/R83,"n/a")</f>
        <v>8.10244018005212</v>
      </c>
      <c r="V83" s="69" t="n">
        <f aca="false">IFERROR(S83/$C$3,0)</f>
        <v>7.07567985747811E-005</v>
      </c>
      <c r="W83" s="69" t="n">
        <f aca="false">IFERROR(T83/$D$4,0)</f>
        <v>0.000146170845884909</v>
      </c>
      <c r="X83" s="73" t="n">
        <f aca="false">IFERROR((V83+W83)/2,0)</f>
        <v>0.000108463822229845</v>
      </c>
      <c r="Y83" s="66" t="n">
        <v>0.998978574980313</v>
      </c>
      <c r="Z83" s="59" t="str">
        <f aca="false">IFERROR(POWER(P83/C83,1/13)-1,"n/a")</f>
        <v>n/a</v>
      </c>
      <c r="AA83" s="53" t="n">
        <f aca="false">IFERROR(POWER(P83/J83,1/6)-1,"n/a")</f>
        <v>0.126269962652943</v>
      </c>
      <c r="AB83" s="42" t="str">
        <f aca="false">IFERROR(AA83-Z83,"n/a")</f>
        <v>n/a</v>
      </c>
      <c r="AC83" s="43" t="n">
        <f aca="false">IFERROR(SLOPE(C83:P83,{1,2,3,4,5,6,7,8,9,10,11,12,13,14})/AVERAGEIF(C83:P83,"&gt;0"),"n/a")</f>
        <v>0.233808879246548</v>
      </c>
      <c r="AD83" s="43" t="n">
        <f aca="false">IFERROR(SLOPE(J83:P83,{1,2,3,4,5,6,7})/AVERAGEIF(J83:P83,"&gt;0"),"n/a")</f>
        <v>0.216494543923463</v>
      </c>
      <c r="AE83" s="45" t="n">
        <f aca="false">IFERROR(J83/I83,"n/a")</f>
        <v>1.14706692371248</v>
      </c>
      <c r="AF83" s="46" t="n">
        <f aca="false">IFERROR(J83/H83,"n/a")</f>
        <v>0.882228341453082</v>
      </c>
      <c r="AG83" s="56" t="n">
        <v>2.09584098431597</v>
      </c>
      <c r="AH83" s="47" t="s">
        <v>132</v>
      </c>
      <c r="AI83" s="48" t="n">
        <v>0.075</v>
      </c>
      <c r="AJ83" s="49" t="s">
        <v>133</v>
      </c>
    </row>
    <row r="84" customFormat="false" ht="16.5" hidden="false" customHeight="true" outlineLevel="0" collapsed="false">
      <c r="A84" s="95" t="s">
        <v>238</v>
      </c>
      <c r="B84" s="96" t="s">
        <v>239</v>
      </c>
      <c r="C84" s="30" t="n">
        <v>31914</v>
      </c>
      <c r="D84" s="30" t="n">
        <v>27832</v>
      </c>
      <c r="E84" s="30" t="n">
        <v>38327</v>
      </c>
      <c r="F84" s="30" t="n">
        <v>41443</v>
      </c>
      <c r="G84" s="30" t="n">
        <v>43515</v>
      </c>
      <c r="H84" s="30" t="n">
        <v>22955</v>
      </c>
      <c r="I84" s="30" t="n">
        <v>42310</v>
      </c>
      <c r="J84" s="31" t="n">
        <v>29605</v>
      </c>
      <c r="K84" s="31" t="n">
        <v>111524</v>
      </c>
      <c r="L84" s="31" t="n">
        <v>38735</v>
      </c>
      <c r="M84" s="31" t="n">
        <v>27076</v>
      </c>
      <c r="N84" s="31" t="n">
        <v>44348</v>
      </c>
      <c r="O84" s="31" t="n">
        <v>53766</v>
      </c>
      <c r="P84" s="31" t="n">
        <v>20009</v>
      </c>
      <c r="Q84" s="32" t="n">
        <v>44348</v>
      </c>
      <c r="R84" s="33" t="n">
        <f aca="false">IFERROR(AVERAGEIF(C84:I84,"&gt;0"),0)</f>
        <v>35470.8571428571</v>
      </c>
      <c r="S84" s="34" t="n">
        <f aca="false">IFERROR(AVERAGEIF(J84:P84,"&gt;0"),0)</f>
        <v>46437.5714285714</v>
      </c>
      <c r="T84" s="89" t="n">
        <f aca="false">S84-R84</f>
        <v>10966.7142857143</v>
      </c>
      <c r="U84" s="36" t="n">
        <f aca="false">IFERROR(S84/R84,"n/a")</f>
        <v>1.30917533911138</v>
      </c>
      <c r="V84" s="69" t="n">
        <f aca="false">IFERROR(S84/$C$3,0)</f>
        <v>0.000134503790687326</v>
      </c>
      <c r="W84" s="69" t="n">
        <f aca="false">IFERROR(T84/$D$4,0)</f>
        <v>7.48587184936777E-005</v>
      </c>
      <c r="X84" s="73" t="n">
        <f aca="false">IFERROR((V84+W84)/2,0)</f>
        <v>0.000104681254590502</v>
      </c>
      <c r="Y84" s="66" t="n">
        <v>0.999084669029399</v>
      </c>
      <c r="Z84" s="41" t="n">
        <f aca="false">IFERROR(POWER(P84/C84,1/13)-1,"n/a")</f>
        <v>-0.0352753051583243</v>
      </c>
      <c r="AA84" s="41" t="n">
        <f aca="false">IFERROR(POWER(P84/J84,1/6)-1,"n/a")</f>
        <v>-0.0632075401881692</v>
      </c>
      <c r="AB84" s="42" t="n">
        <f aca="false">IFERROR(AA84-Z84,"n/a")</f>
        <v>-0.0279322350298449</v>
      </c>
      <c r="AC84" s="43" t="n">
        <f aca="false">IFERROR(SLOPE(C84:P84,{1,2,3,4,5,6,7,8,9,10,11,12,13,14})/AVERAGEIF(C84:P84,"&gt;0"),"n/a")</f>
        <v>0.016809497929006</v>
      </c>
      <c r="AD84" s="44" t="n">
        <f aca="false">IFERROR(SLOPE(J84:P84,{1,2,3,4,5,6,7})/AVERAGEIF(J84:P84,"&gt;0"),"n/a")</f>
        <v>-0.106664708071974</v>
      </c>
      <c r="AE84" s="46" t="n">
        <f aca="false">IFERROR(J84/I84,"n/a")</f>
        <v>0.699716379106594</v>
      </c>
      <c r="AF84" s="46" t="n">
        <f aca="false">IFERROR(J84/H84,"n/a")</f>
        <v>1.28969723371814</v>
      </c>
      <c r="AG84" s="46" t="n">
        <v>0.847898202297196</v>
      </c>
      <c r="AH84" s="47" t="s">
        <v>353</v>
      </c>
      <c r="AI84" s="48" t="n">
        <v>0.1</v>
      </c>
      <c r="AJ84" s="61" t="s">
        <v>191</v>
      </c>
    </row>
    <row r="85" customFormat="false" ht="16.5" hidden="false" customHeight="true" outlineLevel="0" collapsed="false">
      <c r="A85" s="95" t="s">
        <v>154</v>
      </c>
      <c r="B85" s="96" t="s">
        <v>155</v>
      </c>
      <c r="C85" s="30" t="n">
        <v>3195</v>
      </c>
      <c r="D85" s="30" t="n">
        <v>1198</v>
      </c>
      <c r="E85" s="30" t="n">
        <v>4161</v>
      </c>
      <c r="F85" s="30" t="n">
        <v>8907</v>
      </c>
      <c r="G85" s="30" t="n">
        <v>5621</v>
      </c>
      <c r="H85" s="30" t="n">
        <v>6073</v>
      </c>
      <c r="I85" s="30" t="n">
        <v>19661</v>
      </c>
      <c r="J85" s="31" t="n">
        <v>42815</v>
      </c>
      <c r="K85" s="31" t="n">
        <v>16677</v>
      </c>
      <c r="L85" s="31" t="n">
        <v>9552</v>
      </c>
      <c r="M85" s="31" t="n">
        <v>15319</v>
      </c>
      <c r="N85" s="31" t="n">
        <v>24235</v>
      </c>
      <c r="O85" s="31" t="n">
        <v>37755</v>
      </c>
      <c r="P85" s="31" t="n">
        <v>32541</v>
      </c>
      <c r="Q85" s="32" t="n">
        <v>24235</v>
      </c>
      <c r="R85" s="33" t="n">
        <f aca="false">IFERROR(AVERAGEIF(C85:I85,"&gt;0"),0)</f>
        <v>6973.71428571429</v>
      </c>
      <c r="S85" s="34" t="n">
        <f aca="false">IFERROR(AVERAGEIF(J85:P85,"&gt;0"),0)</f>
        <v>25556.2857142857</v>
      </c>
      <c r="T85" s="89" t="n">
        <f aca="false">S85-R85</f>
        <v>18582.5714285714</v>
      </c>
      <c r="U85" s="51" t="n">
        <f aca="false">IFERROR(S85/R85,"n/a")</f>
        <v>3.6646591281547</v>
      </c>
      <c r="V85" s="69" t="n">
        <f aca="false">IFERROR(S85/$C$3,0)</f>
        <v>7.40223314594969E-005</v>
      </c>
      <c r="W85" s="69" t="n">
        <f aca="false">IFERROR(T85/$D$4,0)</f>
        <v>0.00012684450850262</v>
      </c>
      <c r="X85" s="73" t="n">
        <f aca="false">IFERROR((V85+W85)/2,0)</f>
        <v>0.000100433419981058</v>
      </c>
      <c r="Y85" s="66" t="n">
        <v>0.999185879961611</v>
      </c>
      <c r="Z85" s="53" t="n">
        <f aca="false">IFERROR(POWER(P85/C85,1/13)-1,"n/a")</f>
        <v>0.195460930041796</v>
      </c>
      <c r="AA85" s="41" t="n">
        <f aca="false">IFERROR(POWER(P85/J85,1/6)-1,"n/a")</f>
        <v>-0.0447013637717603</v>
      </c>
      <c r="AB85" s="42" t="n">
        <f aca="false">IFERROR(AA85-Z85,"n/a")</f>
        <v>-0.240162293813557</v>
      </c>
      <c r="AC85" s="43" t="n">
        <f aca="false">IFERROR(SLOPE(C85:P85,{1,2,3,4,5,6,7,8,9,10,11,12,13,14})/AVERAGEIF(C85:P85,"&gt;0"),"n/a")</f>
        <v>0.146447539549292</v>
      </c>
      <c r="AD85" s="43" t="n">
        <f aca="false">IFERROR(SLOPE(J85:P85,{1,2,3,4,5,6,7})/AVERAGEIF(J85:P85,"&gt;0"),"n/a")</f>
        <v>0.0363581226871779</v>
      </c>
      <c r="AE85" s="83" t="n">
        <f aca="false">IFERROR(J85/I85,"n/a")</f>
        <v>2.1776613600529</v>
      </c>
      <c r="AF85" s="55" t="n">
        <f aca="false">IFERROR(J85/H85,"n/a")</f>
        <v>7.05005763214227</v>
      </c>
      <c r="AG85" s="56" t="n">
        <v>1.23297781554067</v>
      </c>
      <c r="AH85" s="47" t="s">
        <v>190</v>
      </c>
      <c r="AI85" s="48" t="n">
        <v>0.1</v>
      </c>
      <c r="AJ85" s="61" t="s">
        <v>191</v>
      </c>
    </row>
    <row r="86" customFormat="false" ht="16.5" hidden="false" customHeight="true" outlineLevel="0" collapsed="false">
      <c r="A86" s="95" t="s">
        <v>176</v>
      </c>
      <c r="B86" s="96" t="s">
        <v>177</v>
      </c>
      <c r="C86" s="50" t="s">
        <v>89</v>
      </c>
      <c r="D86" s="50" t="s">
        <v>89</v>
      </c>
      <c r="E86" s="30" t="n">
        <v>719</v>
      </c>
      <c r="F86" s="30" t="n">
        <v>76</v>
      </c>
      <c r="G86" s="30" t="n">
        <v>430</v>
      </c>
      <c r="H86" s="30" t="n">
        <v>396</v>
      </c>
      <c r="I86" s="50" t="s">
        <v>89</v>
      </c>
      <c r="J86" s="50" t="s">
        <v>89</v>
      </c>
      <c r="K86" s="31" t="n">
        <v>7512</v>
      </c>
      <c r="L86" s="31" t="n">
        <v>3020</v>
      </c>
      <c r="M86" s="31" t="n">
        <v>128</v>
      </c>
      <c r="N86" s="31" t="n">
        <v>35446</v>
      </c>
      <c r="O86" s="31" t="n">
        <v>31053</v>
      </c>
      <c r="P86" s="31" t="n">
        <v>47061</v>
      </c>
      <c r="Q86" s="32" t="n">
        <v>35446</v>
      </c>
      <c r="R86" s="33" t="n">
        <f aca="false">IFERROR(AVERAGEIF(C86:I86,"&gt;0"),0)</f>
        <v>405.25</v>
      </c>
      <c r="S86" s="34" t="n">
        <f aca="false">IFERROR(AVERAGEIF(J86:P86,"&gt;0"),0)</f>
        <v>20703.3333333333</v>
      </c>
      <c r="T86" s="89" t="n">
        <f aca="false">S86-R86</f>
        <v>20298.0833333333</v>
      </c>
      <c r="U86" s="51" t="n">
        <f aca="false">IFERROR(S86/R86,"n/a")</f>
        <v>51.0878058811433</v>
      </c>
      <c r="V86" s="69" t="n">
        <f aca="false">IFERROR(S86/$C$3,0)</f>
        <v>5.99660302537545E-005</v>
      </c>
      <c r="W86" s="69" t="n">
        <f aca="false">IFERROR(T86/$D$4,0)</f>
        <v>0.0001385545813107</v>
      </c>
      <c r="X86" s="73" t="n">
        <f aca="false">IFERROR((V86+W86)/2,0)</f>
        <v>9.92603057822271E-005</v>
      </c>
      <c r="Y86" s="66" t="n">
        <v>0.999285770135719</v>
      </c>
      <c r="Z86" s="59" t="str">
        <f aca="false">IFERROR(POWER(P86/C86,1/13)-1,"n/a")</f>
        <v>n/a</v>
      </c>
      <c r="AA86" s="59" t="str">
        <f aca="false">IFERROR(POWER(P86/J86,1/6)-1,"n/a")</f>
        <v>n/a</v>
      </c>
      <c r="AB86" s="42" t="str">
        <f aca="false">IFERROR(AA86-Z86,"n/a")</f>
        <v>n/a</v>
      </c>
      <c r="AC86" s="43" t="n">
        <f aca="false">IFERROR(SLOPE(C86:P86,{1,2,3,4,5,6,7,8,9,10,11,12,13,14})/AVERAGEIF(C86:P86,"&gt;0"),"n/a")</f>
        <v>0.283194623744892</v>
      </c>
      <c r="AD86" s="43" t="n">
        <f aca="false">IFERROR(SLOPE(J86:P86,{1,2,3,4,5,6,7})/AVERAGEIF(J86:P86,"&gt;0"),"n/a")</f>
        <v>0.437696253191343</v>
      </c>
      <c r="AE86" s="46" t="str">
        <f aca="false">IFERROR(J86/I86,"n/a")</f>
        <v>n/a</v>
      </c>
      <c r="AF86" s="46" t="str">
        <f aca="false">IFERROR(J86/H86,"n/a")</f>
        <v>n/a</v>
      </c>
      <c r="AG86" s="56" t="n">
        <v>1.82836902270166</v>
      </c>
      <c r="AH86" s="47" t="s">
        <v>190</v>
      </c>
      <c r="AI86" s="48" t="n">
        <v>0.1</v>
      </c>
      <c r="AJ86" s="61" t="s">
        <v>191</v>
      </c>
    </row>
    <row r="87" customFormat="false" ht="16.5" hidden="false" customHeight="true" outlineLevel="0" collapsed="false">
      <c r="A87" s="95" t="s">
        <v>292</v>
      </c>
      <c r="B87" s="96" t="s">
        <v>293</v>
      </c>
      <c r="C87" s="50" t="s">
        <v>89</v>
      </c>
      <c r="D87" s="50" t="s">
        <v>89</v>
      </c>
      <c r="E87" s="50" t="s">
        <v>89</v>
      </c>
      <c r="F87" s="50" t="s">
        <v>89</v>
      </c>
      <c r="G87" s="30" t="n">
        <v>234</v>
      </c>
      <c r="H87" s="50" t="s">
        <v>89</v>
      </c>
      <c r="I87" s="50" t="s">
        <v>89</v>
      </c>
      <c r="J87" s="50" t="s">
        <v>89</v>
      </c>
      <c r="K87" s="31" t="n">
        <v>21</v>
      </c>
      <c r="L87" s="31" t="n">
        <v>4142</v>
      </c>
      <c r="M87" s="31" t="n">
        <v>2079</v>
      </c>
      <c r="N87" s="31" t="n">
        <v>6524</v>
      </c>
      <c r="O87" s="31" t="n">
        <v>45850</v>
      </c>
      <c r="P87" s="31" t="n">
        <v>63747</v>
      </c>
      <c r="Q87" s="32" t="n">
        <v>6524</v>
      </c>
      <c r="R87" s="33" t="n">
        <f aca="false">IFERROR(AVERAGEIF(C87:I87,"&gt;0"),0)</f>
        <v>234</v>
      </c>
      <c r="S87" s="34" t="n">
        <f aca="false">IFERROR(AVERAGEIF(J87:P87,"&gt;0"),0)</f>
        <v>20393.8333333333</v>
      </c>
      <c r="T87" s="89" t="n">
        <f aca="false">S87-R87</f>
        <v>20159.8333333333</v>
      </c>
      <c r="U87" s="51" t="n">
        <f aca="false">IFERROR(S87/R87,"n/a")</f>
        <v>87.1531339031339</v>
      </c>
      <c r="V87" s="69" t="n">
        <f aca="false">IFERROR(S87/$C$3,0)</f>
        <v>5.90695810653692E-005</v>
      </c>
      <c r="W87" s="69" t="n">
        <f aca="false">IFERROR(T87/$D$4,0)</f>
        <v>0.000137610887733743</v>
      </c>
      <c r="X87" s="73" t="n">
        <f aca="false">IFERROR((V87+W87)/2,0)</f>
        <v>9.8340234399556E-005</v>
      </c>
      <c r="Y87" s="66" t="n">
        <v>0.999384730822364</v>
      </c>
      <c r="Z87" s="59" t="str">
        <f aca="false">IFERROR(POWER(P87/C87,1/13)-1,"n/a")</f>
        <v>n/a</v>
      </c>
      <c r="AA87" s="59" t="str">
        <f aca="false">IFERROR(POWER(P87/J87,1/6)-1,"n/a")</f>
        <v>n/a</v>
      </c>
      <c r="AB87" s="70" t="str">
        <f aca="false">IFERROR(AA87-Z87,"n/a")</f>
        <v>n/a</v>
      </c>
      <c r="AC87" s="43" t="n">
        <f aca="false">IFERROR(SLOPE(C87:P87,{1,2,3,4,5,6,7,8,9,10,11,12,13,14})/AVERAGEIF(C87:P87,"&gt;0"),"n/a")</f>
        <v>0.357608929377502</v>
      </c>
      <c r="AD87" s="43" t="n">
        <f aca="false">IFERROR(SLOPE(J87:P87,{1,2,3,4,5,6,7})/AVERAGEIF(J87:P87,"&gt;0"),"n/a")</f>
        <v>0.627919504145161</v>
      </c>
      <c r="AE87" s="46" t="str">
        <f aca="false">IFERROR(J87/I87,"n/a")</f>
        <v>n/a</v>
      </c>
      <c r="AF87" s="46" t="str">
        <f aca="false">IFERROR(J87/H87,"n/a")</f>
        <v>n/a</v>
      </c>
      <c r="AG87" s="56" t="n">
        <v>1.89797569526736</v>
      </c>
      <c r="AH87" s="47" t="s">
        <v>190</v>
      </c>
      <c r="AI87" s="48" t="n">
        <v>0.1</v>
      </c>
      <c r="AJ87" s="61" t="s">
        <v>191</v>
      </c>
    </row>
    <row r="88" customFormat="false" ht="16.5" hidden="false" customHeight="true" outlineLevel="0" collapsed="false">
      <c r="A88" s="95" t="s">
        <v>140</v>
      </c>
      <c r="B88" s="96" t="s">
        <v>141</v>
      </c>
      <c r="C88" s="30" t="n">
        <v>5311</v>
      </c>
      <c r="D88" s="30" t="n">
        <v>19191</v>
      </c>
      <c r="E88" s="30" t="n">
        <v>39163</v>
      </c>
      <c r="F88" s="30" t="n">
        <v>48866</v>
      </c>
      <c r="G88" s="30" t="n">
        <v>77140</v>
      </c>
      <c r="H88" s="30" t="n">
        <v>23914</v>
      </c>
      <c r="I88" s="30" t="n">
        <v>5664</v>
      </c>
      <c r="J88" s="31" t="n">
        <v>8370</v>
      </c>
      <c r="K88" s="31" t="n">
        <v>6300</v>
      </c>
      <c r="L88" s="31" t="n">
        <v>11235</v>
      </c>
      <c r="M88" s="31" t="n">
        <v>70961</v>
      </c>
      <c r="N88" s="31" t="n">
        <v>62163</v>
      </c>
      <c r="O88" s="31" t="n">
        <v>27199</v>
      </c>
      <c r="P88" s="31" t="n">
        <v>94144</v>
      </c>
      <c r="Q88" s="32" t="n">
        <v>62163</v>
      </c>
      <c r="R88" s="33" t="n">
        <f aca="false">IFERROR(AVERAGEIF(C88:I88,"&gt;0"),0)</f>
        <v>31321.2857142857</v>
      </c>
      <c r="S88" s="34" t="n">
        <f aca="false">IFERROR(AVERAGEIF(J88:P88,"&gt;0"),0)</f>
        <v>40053.1428571429</v>
      </c>
      <c r="T88" s="89" t="n">
        <f aca="false">S88-R88</f>
        <v>8731.85714285714</v>
      </c>
      <c r="U88" s="36" t="n">
        <f aca="false">IFERROR(S88/R88,"n/a")</f>
        <v>1.27878348361908</v>
      </c>
      <c r="V88" s="69" t="n">
        <f aca="false">IFERROR(S88/$C$3,0)</f>
        <v>0.000116011655594721</v>
      </c>
      <c r="W88" s="69" t="n">
        <f aca="false">IFERROR(T88/$D$4,0)</f>
        <v>5.96035985578317E-005</v>
      </c>
      <c r="X88" s="73" t="n">
        <f aca="false">IFERROR((V88+W88)/2,0)</f>
        <v>8.78076270762765E-005</v>
      </c>
      <c r="Y88" s="66" t="n">
        <v>0.99947375700713</v>
      </c>
      <c r="Z88" s="59" t="n">
        <f aca="false">IFERROR(POWER(P88/C88,1/13)-1,"n/a")</f>
        <v>0.247519696373795</v>
      </c>
      <c r="AA88" s="59" t="n">
        <f aca="false">IFERROR(POWER(P88/J88,1/6)-1,"n/a")</f>
        <v>0.496848563119446</v>
      </c>
      <c r="AB88" s="70" t="n">
        <f aca="false">IFERROR(AA88-Z88,"n/a")</f>
        <v>0.249328866745651</v>
      </c>
      <c r="AC88" s="43" t="n">
        <f aca="false">IFERROR(SLOPE(C88:P88,{1,2,3,4,5,6,7,8,9,10,11,12,13,14})/AVERAGEIF(C88:P88,"&gt;0"),"n/a")</f>
        <v>0.0754369350429164</v>
      </c>
      <c r="AD88" s="43" t="n">
        <f aca="false">IFERROR(SLOPE(J88:P88,{1,2,3,4,5,6,7})/AVERAGEIF(J88:P88,"&gt;0"),"n/a")</f>
        <v>0.312128172570728</v>
      </c>
      <c r="AE88" s="45" t="n">
        <f aca="false">IFERROR(J88/I88,"n/a")</f>
        <v>1.47775423728814</v>
      </c>
      <c r="AF88" s="46" t="n">
        <f aca="false">IFERROR(J88/H88,"n/a")</f>
        <v>0.350004181650916</v>
      </c>
      <c r="AG88" s="56" t="n">
        <v>1.52718768873734</v>
      </c>
      <c r="AH88" s="47" t="s">
        <v>355</v>
      </c>
      <c r="AI88" s="48" t="n">
        <v>0.0375</v>
      </c>
      <c r="AJ88" s="49" t="s">
        <v>356</v>
      </c>
    </row>
    <row r="89" customFormat="false" ht="16.5" hidden="false" customHeight="true" outlineLevel="0" collapsed="false">
      <c r="A89" s="95" t="s">
        <v>184</v>
      </c>
      <c r="B89" s="96" t="s">
        <v>185</v>
      </c>
      <c r="C89" s="30" t="n">
        <v>109</v>
      </c>
      <c r="D89" s="50" t="s">
        <v>89</v>
      </c>
      <c r="E89" s="30" t="n">
        <v>103</v>
      </c>
      <c r="F89" s="30" t="n">
        <v>246</v>
      </c>
      <c r="G89" s="30" t="n">
        <v>26</v>
      </c>
      <c r="H89" s="30" t="n">
        <v>205</v>
      </c>
      <c r="I89" s="30" t="n">
        <v>24</v>
      </c>
      <c r="J89" s="50" t="s">
        <v>89</v>
      </c>
      <c r="K89" s="31" t="n">
        <v>3188</v>
      </c>
      <c r="L89" s="31" t="n">
        <v>8451</v>
      </c>
      <c r="M89" s="31" t="n">
        <v>7288</v>
      </c>
      <c r="N89" s="31" t="n">
        <v>18716</v>
      </c>
      <c r="O89" s="31" t="n">
        <v>26196</v>
      </c>
      <c r="P89" s="31" t="n">
        <v>33487</v>
      </c>
      <c r="Q89" s="32" t="n">
        <v>18716</v>
      </c>
      <c r="R89" s="33" t="n">
        <f aca="false">IFERROR(AVERAGEIF(C89:I89,"&gt;0"),0)</f>
        <v>118.833333333333</v>
      </c>
      <c r="S89" s="34" t="n">
        <f aca="false">IFERROR(AVERAGEIF(J89:P89,"&gt;0"),0)</f>
        <v>16221</v>
      </c>
      <c r="T89" s="89" t="n">
        <f aca="false">S89-R89</f>
        <v>16102.1666666667</v>
      </c>
      <c r="U89" s="51" t="n">
        <f aca="false">IFERROR(S89/R89,"n/a")</f>
        <v>136.502103786816</v>
      </c>
      <c r="V89" s="69" t="n">
        <f aca="false">IFERROR(S89/$C$3,0)</f>
        <v>4.69832060898157E-005</v>
      </c>
      <c r="W89" s="69" t="n">
        <f aca="false">IFERROR(T89/$D$4,0)</f>
        <v>0.000109913282158583</v>
      </c>
      <c r="X89" s="73" t="n">
        <f aca="false">IFERROR((V89+W89)/2,0)</f>
        <v>7.84482441241996E-005</v>
      </c>
      <c r="Y89" s="66" t="n">
        <v>0.999552698751211</v>
      </c>
      <c r="Z89" s="59" t="n">
        <f aca="false">IFERROR(POWER(P89/C89,1/13)-1,"n/a")</f>
        <v>0.553611001839891</v>
      </c>
      <c r="AA89" s="59" t="str">
        <f aca="false">IFERROR(POWER(P89/J89,1/6)-1,"n/a")</f>
        <v>n/a</v>
      </c>
      <c r="AB89" s="57" t="str">
        <f aca="false">IFERROR(AA89-Z89,"n/a")</f>
        <v>n/a</v>
      </c>
      <c r="AC89" s="43" t="n">
        <f aca="false">IFERROR(SLOPE(C89:P89,{1,2,3,4,5,6,7,8,9,10,11,12,13,14})/AVERAGEIF(C89:P89,"&gt;0"),"n/a")</f>
        <v>0.285167561272012</v>
      </c>
      <c r="AD89" s="43" t="n">
        <f aca="false">IFERROR(SLOPE(J89:P89,{1,2,3,4,5,6,7})/AVERAGEIF(J89:P89,"&gt;0"),"n/a")</f>
        <v>0.38073749196368</v>
      </c>
      <c r="AE89" s="46" t="str">
        <f aca="false">IFERROR(J89/I89,"n/a")</f>
        <v>n/a</v>
      </c>
      <c r="AF89" s="46" t="str">
        <f aca="false">IFERROR(J89/H89,"n/a")</f>
        <v>n/a</v>
      </c>
      <c r="AG89" s="56" t="n">
        <v>1.61105973737747</v>
      </c>
      <c r="AH89" s="47" t="s">
        <v>190</v>
      </c>
      <c r="AI89" s="48" t="n">
        <v>0.1</v>
      </c>
      <c r="AJ89" s="61" t="s">
        <v>191</v>
      </c>
    </row>
    <row r="90" customFormat="false" ht="16.5" hidden="false" customHeight="true" outlineLevel="0" collapsed="false">
      <c r="A90" s="95" t="s">
        <v>298</v>
      </c>
      <c r="B90" s="96" t="s">
        <v>299</v>
      </c>
      <c r="C90" s="50" t="s">
        <v>89</v>
      </c>
      <c r="D90" s="50" t="s">
        <v>89</v>
      </c>
      <c r="E90" s="50" t="s">
        <v>89</v>
      </c>
      <c r="F90" s="50" t="s">
        <v>89</v>
      </c>
      <c r="G90" s="50" t="s">
        <v>89</v>
      </c>
      <c r="H90" s="50" t="s">
        <v>89</v>
      </c>
      <c r="I90" s="30" t="n">
        <v>103</v>
      </c>
      <c r="J90" s="50" t="s">
        <v>89</v>
      </c>
      <c r="K90" s="31" t="n">
        <v>51</v>
      </c>
      <c r="L90" s="50" t="s">
        <v>89</v>
      </c>
      <c r="M90" s="31" t="n">
        <v>3</v>
      </c>
      <c r="N90" s="50" t="s">
        <v>89</v>
      </c>
      <c r="O90" s="31" t="n">
        <v>93</v>
      </c>
      <c r="P90" s="31" t="n">
        <v>50080</v>
      </c>
      <c r="Q90" s="50" t="s">
        <v>89</v>
      </c>
      <c r="R90" s="33" t="n">
        <f aca="false">IFERROR(AVERAGEIF(C90:I90,"&gt;0"),0)</f>
        <v>103</v>
      </c>
      <c r="S90" s="34" t="n">
        <f aca="false">IFERROR(AVERAGEIF(J90:P90,"&gt;0"),0)</f>
        <v>12556.75</v>
      </c>
      <c r="T90" s="89" t="n">
        <f aca="false">S90-R90</f>
        <v>12453.75</v>
      </c>
      <c r="U90" s="51" t="n">
        <f aca="false">IFERROR(S90/R90,"n/a")</f>
        <v>121.910194174757</v>
      </c>
      <c r="V90" s="69" t="n">
        <f aca="false">IFERROR(S90/$C$3,0)</f>
        <v>3.63699138812831E-005</v>
      </c>
      <c r="W90" s="69" t="n">
        <f aca="false">IFERROR(T90/$D$4,0)</f>
        <v>8.50092143510164E-005</v>
      </c>
      <c r="X90" s="73" t="n">
        <f aca="false">IFERROR((V90+W90)/2,0)</f>
        <v>6.06895641161498E-005</v>
      </c>
      <c r="Y90" s="66" t="n">
        <v>0.999613770335892</v>
      </c>
      <c r="Z90" s="59" t="str">
        <f aca="false">IFERROR(POWER(P90/C90,1/13)-1,"n/a")</f>
        <v>n/a</v>
      </c>
      <c r="AA90" s="59" t="str">
        <f aca="false">IFERROR(POWER(P90/J90,1/6)-1,"n/a")</f>
        <v>n/a</v>
      </c>
      <c r="AB90" s="70" t="str">
        <f aca="false">IFERROR(AA90-Z90,"n/a")</f>
        <v>n/a</v>
      </c>
      <c r="AC90" s="43" t="n">
        <f aca="false">IFERROR(SLOPE(C90:P90,{1,2,3,4,5,6,7,8,9,10,11,12,13,14})/AVERAGEIF(C90:P90,"&gt;0"),"n/a")</f>
        <v>0.484539841921368</v>
      </c>
      <c r="AD90" s="43" t="n">
        <f aca="false">IFERROR(SLOPE(J90:P90,{1,2,3,4,5,6,7})/AVERAGEIF(J90:P90,"&gt;0"),"n/a")</f>
        <v>0.608241971280893</v>
      </c>
      <c r="AE90" s="46" t="str">
        <f aca="false">IFERROR(J90/I90,"n/a")</f>
        <v>n/a</v>
      </c>
      <c r="AF90" s="46" t="str">
        <f aca="false">IFERROR(J90/H90,"n/a")</f>
        <v>n/a</v>
      </c>
      <c r="AG90" s="56" t="n">
        <v>1.99784976208016</v>
      </c>
      <c r="AH90" s="47" t="s">
        <v>132</v>
      </c>
      <c r="AI90" s="48" t="n">
        <v>0.075</v>
      </c>
      <c r="AJ90" s="49" t="s">
        <v>133</v>
      </c>
    </row>
    <row r="91" customFormat="false" ht="16.5" hidden="false" customHeight="true" outlineLevel="0" collapsed="false">
      <c r="A91" s="95" t="s">
        <v>274</v>
      </c>
      <c r="B91" s="96" t="s">
        <v>275</v>
      </c>
      <c r="C91" s="30" t="n">
        <v>5727</v>
      </c>
      <c r="D91" s="30" t="n">
        <v>768</v>
      </c>
      <c r="E91" s="30" t="n">
        <v>7993</v>
      </c>
      <c r="F91" s="30" t="n">
        <v>951</v>
      </c>
      <c r="G91" s="30" t="n">
        <v>21923</v>
      </c>
      <c r="H91" s="30" t="n">
        <v>9245</v>
      </c>
      <c r="I91" s="30" t="n">
        <v>48382</v>
      </c>
      <c r="J91" s="31" t="n">
        <v>37140</v>
      </c>
      <c r="K91" s="31" t="n">
        <v>17949</v>
      </c>
      <c r="L91" s="31" t="n">
        <v>11952</v>
      </c>
      <c r="M91" s="31" t="n">
        <v>26276</v>
      </c>
      <c r="N91" s="31" t="n">
        <v>9695</v>
      </c>
      <c r="O91" s="31" t="n">
        <v>7126</v>
      </c>
      <c r="P91" s="31" t="n">
        <v>30060</v>
      </c>
      <c r="Q91" s="32" t="n">
        <v>9695</v>
      </c>
      <c r="R91" s="33" t="n">
        <f aca="false">IFERROR(AVERAGEIF(C91:I91,"&gt;0"),0)</f>
        <v>13569.8571428571</v>
      </c>
      <c r="S91" s="34" t="n">
        <f aca="false">IFERROR(AVERAGEIF(J91:P91,"&gt;0"),0)</f>
        <v>20028.2857142857</v>
      </c>
      <c r="T91" s="89" t="n">
        <f aca="false">S91-R91</f>
        <v>6458.42857142857</v>
      </c>
      <c r="U91" s="36" t="n">
        <f aca="false">IFERROR(S91/R91,"n/a")</f>
        <v>1.4759393192896</v>
      </c>
      <c r="V91" s="69" t="n">
        <f aca="false">IFERROR(S91/$C$3,0)</f>
        <v>5.80107931286602E-005</v>
      </c>
      <c r="W91" s="69" t="n">
        <f aca="false">IFERROR(T91/$D$4,0)</f>
        <v>4.40851903080839E-005</v>
      </c>
      <c r="X91" s="73" t="n">
        <f aca="false">IFERROR((V91+W91)/2,0)</f>
        <v>5.10479917183721E-005</v>
      </c>
      <c r="Y91" s="66" t="n">
        <v>0.99966542765861</v>
      </c>
      <c r="Z91" s="53" t="n">
        <f aca="false">IFERROR(POWER(P91/C91,1/13)-1,"n/a")</f>
        <v>0.13602887111012</v>
      </c>
      <c r="AA91" s="41" t="n">
        <f aca="false">IFERROR(POWER(P91/J91,1/6)-1,"n/a")</f>
        <v>-0.0346358216391949</v>
      </c>
      <c r="AB91" s="42" t="n">
        <f aca="false">IFERROR(AA91-Z91,"n/a")</f>
        <v>-0.170664692749315</v>
      </c>
      <c r="AC91" s="43" t="n">
        <f aca="false">IFERROR(SLOPE(C91:P91,{1,2,3,4,5,6,7,8,9,10,11,12,13,14})/AVERAGEIF(C91:P91,"&gt;0"),"n/a")</f>
        <v>0.0711545084745985</v>
      </c>
      <c r="AD91" s="44" t="n">
        <f aca="false">IFERROR(SLOPE(J91:P91,{1,2,3,4,5,6,7})/AVERAGEIF(J91:P91,"&gt;0"),"n/a")</f>
        <v>-0.0804986519065893</v>
      </c>
      <c r="AE91" s="46" t="n">
        <f aca="false">IFERROR(J91/I91,"n/a")</f>
        <v>0.767640858170394</v>
      </c>
      <c r="AF91" s="55" t="n">
        <f aca="false">IFERROR(J91/H91,"n/a")</f>
        <v>4.01730665224446</v>
      </c>
      <c r="AG91" s="72" t="n">
        <v>0.780246508509394</v>
      </c>
      <c r="AH91" s="74" t="s">
        <v>162</v>
      </c>
      <c r="AI91" s="75" t="s">
        <v>117</v>
      </c>
      <c r="AJ91" s="75" t="s">
        <v>89</v>
      </c>
    </row>
    <row r="92" customFormat="false" ht="16.5" hidden="false" customHeight="true" outlineLevel="0" collapsed="false">
      <c r="A92" s="95" t="s">
        <v>288</v>
      </c>
      <c r="B92" s="96" t="s">
        <v>289</v>
      </c>
      <c r="C92" s="30" t="n">
        <v>1265</v>
      </c>
      <c r="D92" s="30" t="n">
        <v>2430</v>
      </c>
      <c r="E92" s="30" t="n">
        <v>2987</v>
      </c>
      <c r="F92" s="30" t="n">
        <v>34</v>
      </c>
      <c r="G92" s="30" t="n">
        <v>970</v>
      </c>
      <c r="H92" s="30" t="n">
        <v>2309</v>
      </c>
      <c r="I92" s="30" t="n">
        <v>2666</v>
      </c>
      <c r="J92" s="31" t="n">
        <v>352</v>
      </c>
      <c r="K92" s="31" t="n">
        <v>907</v>
      </c>
      <c r="L92" s="31" t="n">
        <v>944</v>
      </c>
      <c r="M92" s="31" t="n">
        <v>4114</v>
      </c>
      <c r="N92" s="31" t="n">
        <v>1822</v>
      </c>
      <c r="O92" s="31" t="n">
        <v>1942</v>
      </c>
      <c r="P92" s="31" t="n">
        <v>63710</v>
      </c>
      <c r="Q92" s="32" t="n">
        <v>1822</v>
      </c>
      <c r="R92" s="33" t="n">
        <f aca="false">IFERROR(AVERAGEIF(C92:I92,"&gt;0"),0)</f>
        <v>1808.71428571429</v>
      </c>
      <c r="S92" s="34" t="n">
        <f aca="false">IFERROR(AVERAGEIF(J92:P92,"&gt;0"),0)</f>
        <v>10541.5714285714</v>
      </c>
      <c r="T92" s="89" t="n">
        <f aca="false">S92-R92</f>
        <v>8732.85714285714</v>
      </c>
      <c r="U92" s="51" t="n">
        <f aca="false">IFERROR(S92/R92,"n/a")</f>
        <v>5.82821262143591</v>
      </c>
      <c r="V92" s="69" t="n">
        <f aca="false">IFERROR(S92/$C$3,0)</f>
        <v>3.05330634941794E-005</v>
      </c>
      <c r="W92" s="69" t="n">
        <f aca="false">IFERROR(T92/$D$4,0)</f>
        <v>5.96104245511551E-005</v>
      </c>
      <c r="X92" s="73" t="n">
        <f aca="false">IFERROR((V92+W92)/2,0)</f>
        <v>4.50717440226673E-005</v>
      </c>
      <c r="Y92" s="66" t="n">
        <v>0.999710820114367</v>
      </c>
      <c r="Z92" s="59" t="n">
        <f aca="false">IFERROR(POWER(P92/C92,1/13)-1,"n/a")</f>
        <v>0.351861136439211</v>
      </c>
      <c r="AA92" s="59" t="n">
        <f aca="false">IFERROR(POWER(P92/J92,1/6)-1,"n/a")</f>
        <v>1.3783594420067</v>
      </c>
      <c r="AB92" s="70" t="n">
        <f aca="false">IFERROR(AA92-Z92,"n/a")</f>
        <v>1.02649830556749</v>
      </c>
      <c r="AC92" s="43" t="n">
        <f aca="false">IFERROR(SLOPE(C92:P92,{1,2,3,4,5,6,7,8,9,10,11,12,13,14})/AVERAGEIF(C92:P92,"&gt;0"),"n/a")</f>
        <v>0.291079087016717</v>
      </c>
      <c r="AD92" s="43" t="n">
        <f aca="false">IFERROR(SLOPE(J92:P92,{1,2,3,4,5,6,7})/AVERAGEIF(J92:P92,"&gt;0"),"n/a")</f>
        <v>0.653948313479964</v>
      </c>
      <c r="AE92" s="46" t="n">
        <f aca="false">IFERROR(J92/I92,"n/a")</f>
        <v>0.132033008252063</v>
      </c>
      <c r="AF92" s="46" t="n">
        <f aca="false">IFERROR(J92/H92,"n/a")</f>
        <v>0.152446946730186</v>
      </c>
      <c r="AG92" s="56" t="n">
        <v>2.13358449314054</v>
      </c>
      <c r="AH92" s="47" t="s">
        <v>148</v>
      </c>
      <c r="AI92" s="48" t="n">
        <v>0.06</v>
      </c>
      <c r="AJ92" s="49" t="s">
        <v>149</v>
      </c>
    </row>
    <row r="93" customFormat="false" ht="16.5" hidden="false" customHeight="true" outlineLevel="0" collapsed="false">
      <c r="A93" s="95" t="s">
        <v>160</v>
      </c>
      <c r="B93" s="96" t="s">
        <v>161</v>
      </c>
      <c r="C93" s="30" t="n">
        <v>37150</v>
      </c>
      <c r="D93" s="30" t="n">
        <v>12014</v>
      </c>
      <c r="E93" s="30" t="n">
        <v>11154</v>
      </c>
      <c r="F93" s="30" t="n">
        <v>23316</v>
      </c>
      <c r="G93" s="30" t="n">
        <v>23458</v>
      </c>
      <c r="H93" s="30" t="n">
        <v>26435</v>
      </c>
      <c r="I93" s="30" t="n">
        <v>49506</v>
      </c>
      <c r="J93" s="31" t="n">
        <v>22154</v>
      </c>
      <c r="K93" s="31" t="n">
        <v>19580</v>
      </c>
      <c r="L93" s="31" t="n">
        <v>22128</v>
      </c>
      <c r="M93" s="31" t="n">
        <v>28388</v>
      </c>
      <c r="N93" s="31" t="n">
        <v>39792</v>
      </c>
      <c r="O93" s="31" t="n">
        <v>24706</v>
      </c>
      <c r="P93" s="31" t="n">
        <v>31340</v>
      </c>
      <c r="Q93" s="32" t="n">
        <v>39792</v>
      </c>
      <c r="R93" s="33" t="n">
        <f aca="false">IFERROR(AVERAGEIF(C93:I93,"&gt;0"),0)</f>
        <v>26147.5714285714</v>
      </c>
      <c r="S93" s="34" t="n">
        <f aca="false">IFERROR(AVERAGEIF(J93:P93,"&gt;0"),0)</f>
        <v>26869.7142857143</v>
      </c>
      <c r="T93" s="89" t="n">
        <f aca="false">S93-R93</f>
        <v>722.142857142859</v>
      </c>
      <c r="U93" s="68" t="n">
        <f aca="false">IFERROR(S93/R93,"n/a")</f>
        <v>1.0276179705299</v>
      </c>
      <c r="V93" s="69" t="n">
        <f aca="false">IFERROR(S93/$C$3,0)</f>
        <v>7.78266027902213E-005</v>
      </c>
      <c r="W93" s="69" t="n">
        <f aca="false">IFERROR(T93/$D$4,0)</f>
        <v>4.92934232138213E-006</v>
      </c>
      <c r="X93" s="73" t="n">
        <f aca="false">IFERROR((V93+W93)/2,0)</f>
        <v>4.13779725558017E-005</v>
      </c>
      <c r="Y93" s="66" t="n">
        <v>0.999753015558277</v>
      </c>
      <c r="Z93" s="41" t="n">
        <f aca="false">IFERROR(POWER(P93/C93,1/13)-1,"n/a")</f>
        <v>-0.0129969949678892</v>
      </c>
      <c r="AA93" s="53" t="n">
        <f aca="false">IFERROR(POWER(P93/J93,1/6)-1,"n/a")</f>
        <v>0.0595167009375683</v>
      </c>
      <c r="AB93" s="57" t="n">
        <f aca="false">IFERROR(AA93-Z93,"n/a")</f>
        <v>0.0725136959054575</v>
      </c>
      <c r="AC93" s="43" t="n">
        <f aca="false">IFERROR(SLOPE(C93:P93,{1,2,3,4,5,6,7,8,9,10,11,12,13,14})/AVERAGEIF(C93:P93,"&gt;0"),"n/a")</f>
        <v>0.0251015789376594</v>
      </c>
      <c r="AD93" s="43" t="n">
        <f aca="false">IFERROR(SLOPE(J93:P93,{1,2,3,4,5,6,7})/AVERAGEIF(J93:P93,"&gt;0"),"n/a")</f>
        <v>0.0737341031857429</v>
      </c>
      <c r="AE93" s="46" t="n">
        <f aca="false">IFERROR(J93/I93,"n/a")</f>
        <v>0.447501312972165</v>
      </c>
      <c r="AF93" s="46" t="n">
        <f aca="false">IFERROR(J93/H93,"n/a")</f>
        <v>0.838055608095328</v>
      </c>
      <c r="AG93" s="56" t="n">
        <v>1.18892220662669</v>
      </c>
      <c r="AH93" s="74" t="s">
        <v>162</v>
      </c>
      <c r="AI93" s="75" t="s">
        <v>117</v>
      </c>
      <c r="AJ93" s="75" t="s">
        <v>89</v>
      </c>
    </row>
    <row r="94" customFormat="false" ht="16.5" hidden="false" customHeight="true" outlineLevel="0" collapsed="false">
      <c r="A94" s="95" t="s">
        <v>186</v>
      </c>
      <c r="B94" s="96" t="s">
        <v>187</v>
      </c>
      <c r="C94" s="30" t="n">
        <v>11064</v>
      </c>
      <c r="D94" s="30" t="n">
        <v>14246</v>
      </c>
      <c r="E94" s="30" t="n">
        <v>19533</v>
      </c>
      <c r="F94" s="30" t="n">
        <v>13627</v>
      </c>
      <c r="G94" s="30" t="n">
        <v>29092</v>
      </c>
      <c r="H94" s="30" t="n">
        <v>23118</v>
      </c>
      <c r="I94" s="30" t="n">
        <v>28016</v>
      </c>
      <c r="J94" s="31" t="n">
        <v>19507</v>
      </c>
      <c r="K94" s="31" t="n">
        <v>11733</v>
      </c>
      <c r="L94" s="31" t="n">
        <v>17788</v>
      </c>
      <c r="M94" s="31" t="n">
        <v>15823</v>
      </c>
      <c r="N94" s="31" t="n">
        <v>25254</v>
      </c>
      <c r="O94" s="31" t="n">
        <v>21764</v>
      </c>
      <c r="P94" s="31" t="n">
        <v>35809</v>
      </c>
      <c r="Q94" s="32" t="n">
        <v>25254</v>
      </c>
      <c r="R94" s="33" t="n">
        <f aca="false">IFERROR(AVERAGEIF(C94:I94,"&gt;0"),0)</f>
        <v>19813.7142857143</v>
      </c>
      <c r="S94" s="34" t="n">
        <f aca="false">IFERROR(AVERAGEIF(J94:P94,"&gt;0"),0)</f>
        <v>21096.8571428571</v>
      </c>
      <c r="T94" s="89" t="n">
        <f aca="false">S94-R94</f>
        <v>1283.14285714286</v>
      </c>
      <c r="U94" s="68" t="n">
        <f aca="false">IFERROR(S94/R94,"n/a")</f>
        <v>1.06476033915902</v>
      </c>
      <c r="V94" s="69" t="n">
        <f aca="false">IFERROR(S94/$C$3,0)</f>
        <v>6.11058496387558E-005</v>
      </c>
      <c r="W94" s="69" t="n">
        <f aca="false">IFERROR(T94/$D$4,0)</f>
        <v>8.75872457579706E-006</v>
      </c>
      <c r="X94" s="73" t="n">
        <f aca="false">IFERROR((V94+W94)/2,0)</f>
        <v>3.49322871072764E-005</v>
      </c>
      <c r="Y94" s="66" t="n">
        <v>0.999788589686091</v>
      </c>
      <c r="Z94" s="53" t="n">
        <f aca="false">IFERROR(POWER(P94/C94,1/13)-1,"n/a")</f>
        <v>0.0945533262101963</v>
      </c>
      <c r="AA94" s="53" t="n">
        <f aca="false">IFERROR(POWER(P94/J94,1/6)-1,"n/a")</f>
        <v>0.106539576504737</v>
      </c>
      <c r="AB94" s="57" t="n">
        <f aca="false">IFERROR(AA94-Z94,"n/a")</f>
        <v>0.0119862502945405</v>
      </c>
      <c r="AC94" s="43" t="n">
        <f aca="false">IFERROR(SLOPE(C94:P94,{1,2,3,4,5,6,7,8,9,10,11,12,13,14})/AVERAGEIF(C94:P94,"&gt;0"),"n/a")</f>
        <v>0.0399756961176643</v>
      </c>
      <c r="AD94" s="43" t="n">
        <f aca="false">IFERROR(SLOPE(J94:P94,{1,2,3,4,5,6,7})/AVERAGEIF(J94:P94,"&gt;0"),"n/a")</f>
        <v>0.129393003697233</v>
      </c>
      <c r="AE94" s="46" t="n">
        <f aca="false">IFERROR(J94/I94,"n/a")</f>
        <v>0.696280696744717</v>
      </c>
      <c r="AF94" s="46" t="n">
        <f aca="false">IFERROR(J94/H94,"n/a")</f>
        <v>0.843801366900251</v>
      </c>
      <c r="AG94" s="56" t="n">
        <v>1.30867834071426</v>
      </c>
      <c r="AH94" s="47" t="s">
        <v>148</v>
      </c>
      <c r="AI94" s="48" t="n">
        <v>0.06</v>
      </c>
      <c r="AJ94" s="49" t="s">
        <v>149</v>
      </c>
    </row>
    <row r="95" customFormat="false" ht="16.5" hidden="false" customHeight="true" outlineLevel="0" collapsed="false">
      <c r="A95" s="95" t="s">
        <v>262</v>
      </c>
      <c r="B95" s="96" t="s">
        <v>263</v>
      </c>
      <c r="C95" s="30" t="n">
        <v>1146</v>
      </c>
      <c r="D95" s="30" t="n">
        <v>2501</v>
      </c>
      <c r="E95" s="30" t="n">
        <v>2179</v>
      </c>
      <c r="F95" s="30" t="n">
        <v>1457</v>
      </c>
      <c r="G95" s="30" t="n">
        <v>872</v>
      </c>
      <c r="H95" s="30" t="n">
        <v>1424</v>
      </c>
      <c r="I95" s="30" t="n">
        <v>1253</v>
      </c>
      <c r="J95" s="31" t="n">
        <v>848</v>
      </c>
      <c r="K95" s="31" t="n">
        <v>705</v>
      </c>
      <c r="L95" s="31" t="n">
        <v>5645</v>
      </c>
      <c r="M95" s="31" t="n">
        <v>15810</v>
      </c>
      <c r="N95" s="31" t="n">
        <v>5577</v>
      </c>
      <c r="O95" s="31" t="n">
        <v>9794</v>
      </c>
      <c r="P95" s="31" t="n">
        <v>8949</v>
      </c>
      <c r="Q95" s="32" t="n">
        <v>5577</v>
      </c>
      <c r="R95" s="33" t="n">
        <f aca="false">IFERROR(AVERAGEIF(C95:I95,"&gt;0"),0)</f>
        <v>1547.42857142857</v>
      </c>
      <c r="S95" s="34" t="n">
        <f aca="false">IFERROR(AVERAGEIF(J95:P95,"&gt;0"),0)</f>
        <v>6761.14285714286</v>
      </c>
      <c r="T95" s="89" t="n">
        <f aca="false">S95-R95</f>
        <v>5213.71428571429</v>
      </c>
      <c r="U95" s="51" t="n">
        <f aca="false">IFERROR(S95/R95,"n/a")</f>
        <v>4.36927621861152</v>
      </c>
      <c r="V95" s="69" t="n">
        <f aca="false">IFERROR(S95/$C$3,0)</f>
        <v>1.95832666456956E-005</v>
      </c>
      <c r="W95" s="69" t="n">
        <f aca="false">IFERROR(T95/$D$4,0)</f>
        <v>3.55887789042852E-005</v>
      </c>
      <c r="X95" s="73" t="n">
        <f aca="false">IFERROR((V95+W95)/2,0)</f>
        <v>2.75860227749904E-005</v>
      </c>
      <c r="Y95" s="66" t="n">
        <v>0.999816381406647</v>
      </c>
      <c r="Z95" s="53" t="n">
        <f aca="false">IFERROR(POWER(P95/C95,1/13)-1,"n/a")</f>
        <v>0.171280089482913</v>
      </c>
      <c r="AA95" s="59" t="n">
        <f aca="false">IFERROR(POWER(P95/J95,1/6)-1,"n/a")</f>
        <v>0.481027454459072</v>
      </c>
      <c r="AB95" s="70" t="n">
        <f aca="false">IFERROR(AA95-Z95,"n/a")</f>
        <v>0.309747364976159</v>
      </c>
      <c r="AC95" s="43" t="n">
        <f aca="false">IFERROR(SLOPE(C95:P95,{1,2,3,4,5,6,7,8,9,10,11,12,13,14})/AVERAGEIF(C95:P95,"&gt;0"),"n/a")</f>
        <v>0.176710401015766</v>
      </c>
      <c r="AD95" s="43" t="n">
        <f aca="false">IFERROR(SLOPE(J95:P95,{1,2,3,4,5,6,7})/AVERAGEIF(J95:P95,"&gt;0"),"n/a")</f>
        <v>0.224037567613252</v>
      </c>
      <c r="AE95" s="46" t="n">
        <f aca="false">IFERROR(J95/I95,"n/a")</f>
        <v>0.676775738228252</v>
      </c>
      <c r="AF95" s="46" t="n">
        <f aca="false">IFERROR(J95/H95,"n/a")</f>
        <v>0.595505617977528</v>
      </c>
      <c r="AG95" s="56" t="n">
        <v>1.19900833896777</v>
      </c>
      <c r="AH95" s="47" t="s">
        <v>90</v>
      </c>
      <c r="AI95" s="48" t="n">
        <v>0.025</v>
      </c>
      <c r="AJ95" s="49" t="s">
        <v>91</v>
      </c>
    </row>
    <row r="96" customFormat="false" ht="16.5" hidden="false" customHeight="true" outlineLevel="0" collapsed="false">
      <c r="A96" s="95" t="s">
        <v>163</v>
      </c>
      <c r="B96" s="96" t="s">
        <v>164</v>
      </c>
      <c r="C96" s="30" t="n">
        <v>921</v>
      </c>
      <c r="D96" s="30" t="n">
        <v>177</v>
      </c>
      <c r="E96" s="30" t="n">
        <v>40</v>
      </c>
      <c r="F96" s="30" t="n">
        <v>10460</v>
      </c>
      <c r="G96" s="30" t="n">
        <v>63</v>
      </c>
      <c r="H96" s="30" t="n">
        <v>6114</v>
      </c>
      <c r="I96" s="30" t="n">
        <v>217</v>
      </c>
      <c r="J96" s="31" t="n">
        <v>16221</v>
      </c>
      <c r="K96" s="31" t="n">
        <v>2387</v>
      </c>
      <c r="L96" s="31" t="n">
        <v>6916</v>
      </c>
      <c r="M96" s="31" t="n">
        <v>4337</v>
      </c>
      <c r="N96" s="31" t="n">
        <v>5839</v>
      </c>
      <c r="O96" s="31" t="n">
        <v>7439</v>
      </c>
      <c r="P96" s="31" t="n">
        <v>5624</v>
      </c>
      <c r="Q96" s="32" t="n">
        <v>5839</v>
      </c>
      <c r="R96" s="33" t="n">
        <f aca="false">IFERROR(AVERAGEIF(C96:I96,"&gt;0"),0)</f>
        <v>2570.28571428571</v>
      </c>
      <c r="S96" s="34" t="n">
        <f aca="false">IFERROR(AVERAGEIF(J96:P96,"&gt;0"),0)</f>
        <v>6966.14285714286</v>
      </c>
      <c r="T96" s="89" t="n">
        <f aca="false">S96-R96</f>
        <v>4395.85714285714</v>
      </c>
      <c r="U96" s="51" t="n">
        <f aca="false">IFERROR(S96/R96,"n/a")</f>
        <v>2.71026011560694</v>
      </c>
      <c r="V96" s="69" t="n">
        <f aca="false">IFERROR(S96/$C$3,0)</f>
        <v>2.01770375136083E-005</v>
      </c>
      <c r="W96" s="69" t="n">
        <f aca="false">IFERROR(T96/$D$4,0)</f>
        <v>3.00060915076655E-005</v>
      </c>
      <c r="X96" s="73" t="n">
        <f aca="false">IFERROR((V96+W96)/2,0)</f>
        <v>2.50915645106369E-005</v>
      </c>
      <c r="Y96" s="66" t="n">
        <v>0.999841684905761</v>
      </c>
      <c r="Z96" s="53" t="n">
        <f aca="false">IFERROR(POWER(P96/C96,1/13)-1,"n/a")</f>
        <v>0.149330819257987</v>
      </c>
      <c r="AA96" s="41" t="n">
        <f aca="false">IFERROR(POWER(P96/J96,1/6)-1,"n/a")</f>
        <v>-0.161838037157602</v>
      </c>
      <c r="AB96" s="42" t="n">
        <f aca="false">IFERROR(AA96-Z96,"n/a")</f>
        <v>-0.311168856415589</v>
      </c>
      <c r="AC96" s="43" t="n">
        <f aca="false">IFERROR(SLOPE(C96:P96,{1,2,3,4,5,6,7,8,9,10,11,12,13,14})/AVERAGEIF(C96:P96,"&gt;0"),"n/a")</f>
        <v>0.0873176886778864</v>
      </c>
      <c r="AD96" s="44" t="n">
        <f aca="false">IFERROR(SLOPE(J96:P96,{1,2,3,4,5,6,7})/AVERAGEIF(J96:P96,"&gt;0"),"n/a")</f>
        <v>-0.11670733958124</v>
      </c>
      <c r="AE96" s="54" t="n">
        <f aca="false">IFERROR(J96/I96,"n/a")</f>
        <v>74.7511520737327</v>
      </c>
      <c r="AF96" s="71" t="n">
        <f aca="false">IFERROR(J96/H96,"n/a")</f>
        <v>2.65309126594701</v>
      </c>
      <c r="AG96" s="46" t="n">
        <v>0.904469919132676</v>
      </c>
      <c r="AH96" s="47" t="s">
        <v>85</v>
      </c>
      <c r="AI96" s="48" t="n">
        <v>0.04</v>
      </c>
      <c r="AJ96" s="49" t="s">
        <v>86</v>
      </c>
    </row>
    <row r="97" customFormat="false" ht="16.5" hidden="false" customHeight="true" outlineLevel="0" collapsed="false">
      <c r="A97" s="95" t="s">
        <v>208</v>
      </c>
      <c r="B97" s="96" t="s">
        <v>209</v>
      </c>
      <c r="C97" s="30" t="n">
        <v>190</v>
      </c>
      <c r="D97" s="30" t="n">
        <v>248</v>
      </c>
      <c r="E97" s="50" t="s">
        <v>89</v>
      </c>
      <c r="F97" s="30" t="n">
        <v>88</v>
      </c>
      <c r="G97" s="50" t="s">
        <v>89</v>
      </c>
      <c r="H97" s="50" t="s">
        <v>89</v>
      </c>
      <c r="I97" s="50" t="s">
        <v>89</v>
      </c>
      <c r="J97" s="31" t="n">
        <v>4542</v>
      </c>
      <c r="K97" s="31" t="n">
        <v>13914</v>
      </c>
      <c r="L97" s="31" t="n">
        <v>4383</v>
      </c>
      <c r="M97" s="31" t="n">
        <v>4153</v>
      </c>
      <c r="N97" s="31" t="n">
        <v>1686</v>
      </c>
      <c r="O97" s="31" t="n">
        <v>5999</v>
      </c>
      <c r="P97" s="31" t="n">
        <v>1598</v>
      </c>
      <c r="Q97" s="32" t="n">
        <v>1686</v>
      </c>
      <c r="R97" s="33" t="n">
        <f aca="false">IFERROR(AVERAGEIF(C97:I97,"&gt;0"),0)</f>
        <v>175.333333333333</v>
      </c>
      <c r="S97" s="34" t="n">
        <f aca="false">IFERROR(AVERAGEIF(J97:P97,"&gt;0"),0)</f>
        <v>5182.14285714286</v>
      </c>
      <c r="T97" s="89" t="n">
        <f aca="false">S97-R97</f>
        <v>5006.80952380952</v>
      </c>
      <c r="U97" s="51" t="n">
        <f aca="false">IFERROR(S97/R97,"n/a")</f>
        <v>29.5559478544269</v>
      </c>
      <c r="V97" s="69" t="n">
        <f aca="false">IFERROR(S97/$C$3,0)</f>
        <v>1.50097827411386E-005</v>
      </c>
      <c r="W97" s="69" t="n">
        <f aca="false">IFERROR(T97/$D$4,0)</f>
        <v>3.41764483809482E-005</v>
      </c>
      <c r="X97" s="73" t="n">
        <f aca="false">IFERROR((V97+W97)/2,0)</f>
        <v>2.45931155610434E-005</v>
      </c>
      <c r="Y97" s="66" t="n">
        <v>0.999866435680361</v>
      </c>
      <c r="Z97" s="53" t="n">
        <f aca="false">IFERROR(POWER(P97/C97,1/13)-1,"n/a")</f>
        <v>0.177986312279852</v>
      </c>
      <c r="AA97" s="41" t="n">
        <f aca="false">IFERROR(POWER(P97/J97,1/6)-1,"n/a")</f>
        <v>-0.159789171832862</v>
      </c>
      <c r="AB97" s="42" t="n">
        <f aca="false">IFERROR(AA97-Z97,"n/a")</f>
        <v>-0.337775484112714</v>
      </c>
      <c r="AC97" s="43" t="n">
        <f aca="false">IFERROR(SLOPE(C97:P97,{1,2,3,4,5,6,7,8,9,10,11,12,13,14})/AVERAGEIF(C97:P97,"&gt;0"),"n/a")</f>
        <v>0.0907327143786511</v>
      </c>
      <c r="AD97" s="44" t="n">
        <f aca="false">IFERROR(SLOPE(J97:P97,{1,2,3,4,5,6,7})/AVERAGEIF(J97:P97,"&gt;0"),"n/a")</f>
        <v>-0.18855272226051</v>
      </c>
      <c r="AE97" s="46" t="str">
        <f aca="false">IFERROR(J97/I97,"n/a")</f>
        <v>n/a</v>
      </c>
      <c r="AF97" s="46" t="str">
        <f aca="false">IFERROR(J97/H97,"n/a")</f>
        <v>n/a</v>
      </c>
      <c r="AG97" s="72" t="n">
        <v>0.597114633586033</v>
      </c>
      <c r="AH97" s="47" t="s">
        <v>132</v>
      </c>
      <c r="AI97" s="48" t="n">
        <v>0.075</v>
      </c>
      <c r="AJ97" s="49" t="s">
        <v>133</v>
      </c>
    </row>
    <row r="98" customFormat="false" ht="16.5" hidden="false" customHeight="true" outlineLevel="0" collapsed="false">
      <c r="A98" s="95" t="s">
        <v>206</v>
      </c>
      <c r="B98" s="96" t="s">
        <v>207</v>
      </c>
      <c r="C98" s="30" t="n">
        <v>8142</v>
      </c>
      <c r="D98" s="30" t="n">
        <v>849</v>
      </c>
      <c r="E98" s="30" t="n">
        <v>6143</v>
      </c>
      <c r="F98" s="30" t="n">
        <v>17766</v>
      </c>
      <c r="G98" s="30" t="n">
        <v>8750</v>
      </c>
      <c r="H98" s="30" t="n">
        <v>17215</v>
      </c>
      <c r="I98" s="30" t="n">
        <v>16784</v>
      </c>
      <c r="J98" s="31" t="n">
        <v>33367</v>
      </c>
      <c r="K98" s="31" t="n">
        <v>5159</v>
      </c>
      <c r="L98" s="31" t="n">
        <v>7168</v>
      </c>
      <c r="M98" s="31" t="n">
        <v>14460</v>
      </c>
      <c r="N98" s="31" t="n">
        <v>11904</v>
      </c>
      <c r="O98" s="31" t="n">
        <v>10598</v>
      </c>
      <c r="P98" s="31" t="n">
        <v>5514</v>
      </c>
      <c r="Q98" s="32" t="n">
        <v>11904</v>
      </c>
      <c r="R98" s="33" t="n">
        <f aca="false">IFERROR(AVERAGEIF(C98:I98,"&gt;0"),0)</f>
        <v>10807</v>
      </c>
      <c r="S98" s="34" t="n">
        <f aca="false">IFERROR(AVERAGEIF(J98:P98,"&gt;0"),0)</f>
        <v>12595.7142857143</v>
      </c>
      <c r="T98" s="89" t="n">
        <f aca="false">S98-R98</f>
        <v>1788.71428571429</v>
      </c>
      <c r="U98" s="68" t="n">
        <f aca="false">IFERROR(S98/R98,"n/a")</f>
        <v>1.16551441525995</v>
      </c>
      <c r="V98" s="69" t="n">
        <f aca="false">IFERROR(S98/$C$3,0)</f>
        <v>3.64827717239474E-005</v>
      </c>
      <c r="W98" s="69" t="n">
        <f aca="false">IFERROR(T98/$D$4,0)</f>
        <v>1.22097517717162E-005</v>
      </c>
      <c r="X98" s="73" t="n">
        <f aca="false">IFERROR((V98+W98)/2,0)</f>
        <v>2.43462617478318E-005</v>
      </c>
      <c r="Y98" s="66" t="n">
        <v>0.999891165148105</v>
      </c>
      <c r="Z98" s="41" t="n">
        <f aca="false">IFERROR(POWER(P98/C98,1/13)-1,"n/a")</f>
        <v>-0.0295354707258283</v>
      </c>
      <c r="AA98" s="41" t="n">
        <f aca="false">IFERROR(POWER(P98/J98,1/6)-1,"n/a")</f>
        <v>-0.2592159888979</v>
      </c>
      <c r="AB98" s="42" t="n">
        <f aca="false">IFERROR(AA98-Z98,"n/a")</f>
        <v>-0.229680518172071</v>
      </c>
      <c r="AC98" s="43" t="n">
        <f aca="false">IFERROR(SLOPE(C98:P98,{1,2,3,4,5,6,7,8,9,10,11,12,13,14})/AVERAGEIF(C98:P98,"&gt;0"),"n/a")</f>
        <v>0.0139529227144217</v>
      </c>
      <c r="AD98" s="44" t="n">
        <f aca="false">IFERROR(SLOPE(J98:P98,{1,2,3,4,5,6,7})/AVERAGEIF(J98:P98,"&gt;0"),"n/a")</f>
        <v>-0.192653396847</v>
      </c>
      <c r="AE98" s="71" t="n">
        <f aca="false">IFERROR(J98/I98,"n/a")</f>
        <v>1.98802430886559</v>
      </c>
      <c r="AF98" s="71" t="n">
        <f aca="false">IFERROR(J98/H98,"n/a")</f>
        <v>1.93825152483299</v>
      </c>
      <c r="AG98" s="72" t="n">
        <v>0.74141620354618</v>
      </c>
      <c r="AH98" s="47" t="s">
        <v>148</v>
      </c>
      <c r="AI98" s="48" t="n">
        <v>0.06</v>
      </c>
      <c r="AJ98" s="49" t="s">
        <v>149</v>
      </c>
    </row>
    <row r="99" customFormat="false" ht="16.5" hidden="false" customHeight="true" outlineLevel="0" collapsed="false">
      <c r="A99" s="95" t="s">
        <v>230</v>
      </c>
      <c r="B99" s="96" t="s">
        <v>231</v>
      </c>
      <c r="C99" s="30" t="n">
        <v>6482</v>
      </c>
      <c r="D99" s="30" t="n">
        <v>8425</v>
      </c>
      <c r="E99" s="30" t="n">
        <v>8368</v>
      </c>
      <c r="F99" s="30" t="n">
        <v>1484</v>
      </c>
      <c r="G99" s="30" t="n">
        <v>700</v>
      </c>
      <c r="H99" s="30" t="n">
        <v>1587</v>
      </c>
      <c r="I99" s="30" t="n">
        <v>849</v>
      </c>
      <c r="J99" s="31" t="n">
        <v>2666</v>
      </c>
      <c r="K99" s="31" t="n">
        <v>2944</v>
      </c>
      <c r="L99" s="31" t="n">
        <v>10127</v>
      </c>
      <c r="M99" s="31" t="n">
        <v>1771</v>
      </c>
      <c r="N99" s="31" t="n">
        <v>3388</v>
      </c>
      <c r="O99" s="31" t="n">
        <v>19199</v>
      </c>
      <c r="P99" s="31" t="n">
        <v>13159</v>
      </c>
      <c r="Q99" s="32" t="n">
        <v>3388</v>
      </c>
      <c r="R99" s="33" t="n">
        <f aca="false">IFERROR(AVERAGEIF(C99:I99,"&gt;0"),0)</f>
        <v>3985</v>
      </c>
      <c r="S99" s="34" t="n">
        <f aca="false">IFERROR(AVERAGEIF(J99:P99,"&gt;0"),0)</f>
        <v>7607.71428571429</v>
      </c>
      <c r="T99" s="89" t="n">
        <f aca="false">S99-R99</f>
        <v>3622.71428571429</v>
      </c>
      <c r="U99" s="36" t="n">
        <f aca="false">IFERROR(S99/R99,"n/a")</f>
        <v>1.90908765011651</v>
      </c>
      <c r="V99" s="69" t="n">
        <f aca="false">IFERROR(S99/$C$3,0)</f>
        <v>2.20353127524906E-005</v>
      </c>
      <c r="W99" s="69" t="n">
        <f aca="false">IFERROR(T99/$D$4,0)</f>
        <v>2.47286235267911E-005</v>
      </c>
      <c r="X99" s="73" t="n">
        <f aca="false">IFERROR((V99+W99)/2,0)</f>
        <v>2.33819681396408E-005</v>
      </c>
      <c r="Y99" s="66" t="n">
        <v>0.99991477856971</v>
      </c>
      <c r="Z99" s="53" t="n">
        <f aca="false">IFERROR(POWER(P99/C99,1/13)-1,"n/a")</f>
        <v>0.055978102178897</v>
      </c>
      <c r="AA99" s="59" t="n">
        <f aca="false">IFERROR(POWER(P99/J99,1/6)-1,"n/a")</f>
        <v>0.304849600623393</v>
      </c>
      <c r="AB99" s="70" t="n">
        <f aca="false">IFERROR(AA99-Z99,"n/a")</f>
        <v>0.248871498444496</v>
      </c>
      <c r="AC99" s="43" t="n">
        <f aca="false">IFERROR(SLOPE(C99:P99,{1,2,3,4,5,6,7,8,9,10,11,12,13,14})/AVERAGEIF(C99:P99,"&gt;0"),"n/a")</f>
        <v>0.0817212781426758</v>
      </c>
      <c r="AD99" s="43" t="n">
        <f aca="false">IFERROR(SLOPE(J99:P99,{1,2,3,4,5,6,7})/AVERAGEIF(J99:P99,"&gt;0"),"n/a")</f>
        <v>0.268759154241935</v>
      </c>
      <c r="AE99" s="54" t="n">
        <f aca="false">IFERROR(J99/I99,"n/a")</f>
        <v>3.14016489988221</v>
      </c>
      <c r="AF99" s="71" t="n">
        <f aca="false">IFERROR(J99/H99,"n/a")</f>
        <v>1.67989918084436</v>
      </c>
      <c r="AG99" s="56" t="n">
        <v>1.56621724815663</v>
      </c>
      <c r="AH99" s="47" t="s">
        <v>132</v>
      </c>
      <c r="AI99" s="48" t="n">
        <v>0.075</v>
      </c>
      <c r="AJ99" s="49" t="s">
        <v>133</v>
      </c>
    </row>
    <row r="100" customFormat="false" ht="16.5" hidden="false" customHeight="true" outlineLevel="0" collapsed="false">
      <c r="A100" s="95" t="s">
        <v>240</v>
      </c>
      <c r="B100" s="96" t="s">
        <v>241</v>
      </c>
      <c r="C100" s="50" t="s">
        <v>89</v>
      </c>
      <c r="D100" s="30" t="n">
        <v>162</v>
      </c>
      <c r="E100" s="30" t="n">
        <v>297</v>
      </c>
      <c r="F100" s="30" t="n">
        <v>2688</v>
      </c>
      <c r="G100" s="50" t="s">
        <v>89</v>
      </c>
      <c r="H100" s="30" t="n">
        <v>30</v>
      </c>
      <c r="I100" s="50" t="s">
        <v>89</v>
      </c>
      <c r="J100" s="31" t="n">
        <v>149</v>
      </c>
      <c r="K100" s="31" t="n">
        <v>260</v>
      </c>
      <c r="L100" s="31" t="n">
        <v>1871</v>
      </c>
      <c r="M100" s="31" t="n">
        <v>714</v>
      </c>
      <c r="N100" s="31" t="n">
        <v>5759</v>
      </c>
      <c r="O100" s="31" t="n">
        <v>1884</v>
      </c>
      <c r="P100" s="31" t="n">
        <v>22011</v>
      </c>
      <c r="Q100" s="32" t="n">
        <v>5759</v>
      </c>
      <c r="R100" s="33" t="n">
        <f aca="false">IFERROR(AVERAGEIF(C100:I100,"&gt;0"),0)</f>
        <v>794.25</v>
      </c>
      <c r="S100" s="34" t="n">
        <f aca="false">IFERROR(AVERAGEIF(J100:P100,"&gt;0"),0)</f>
        <v>4664</v>
      </c>
      <c r="T100" s="89" t="n">
        <f aca="false">S100-R100</f>
        <v>3869.75</v>
      </c>
      <c r="U100" s="51" t="n">
        <f aca="false">IFERROR(S100/R100,"n/a")</f>
        <v>5.8722064841045</v>
      </c>
      <c r="V100" s="69" t="n">
        <f aca="false">IFERROR(S100/$C$3,0)</f>
        <v>1.35090113558289E-005</v>
      </c>
      <c r="W100" s="69" t="n">
        <f aca="false">IFERROR(T100/$D$4,0)</f>
        <v>2.64148876631413E-005</v>
      </c>
      <c r="X100" s="73" t="n">
        <f aca="false">IFERROR((V100+W100)/2,0)</f>
        <v>1.99619495094851E-005</v>
      </c>
      <c r="Y100" s="66" t="n">
        <v>0.999934882414529</v>
      </c>
      <c r="Z100" s="59" t="str">
        <f aca="false">IFERROR(POWER(P100/C100,1/13)-1,"n/a")</f>
        <v>n/a</v>
      </c>
      <c r="AA100" s="59" t="n">
        <f aca="false">IFERROR(POWER(P100/J100,1/6)-1,"n/a")</f>
        <v>1.29919382411986</v>
      </c>
      <c r="AB100" s="70" t="str">
        <f aca="false">IFERROR(AA100-Z100,"n/a")</f>
        <v>n/a</v>
      </c>
      <c r="AC100" s="43" t="n">
        <f aca="false">IFERROR(SLOPE(C100:P100,{1,2,3,4,5,6,7,8,9,10,11,12,13,14})/AVERAGEIF(C100:P100,"&gt;0"),"n/a")</f>
        <v>0.259921660762085</v>
      </c>
      <c r="AD100" s="43" t="n">
        <f aca="false">IFERROR(SLOPE(J100:P100,{1,2,3,4,5,6,7})/AVERAGEIF(J100:P100,"&gt;0"),"n/a")</f>
        <v>0.556864126439598</v>
      </c>
      <c r="AE100" s="46" t="str">
        <f aca="false">IFERROR(J100/I100,"n/a")</f>
        <v>n/a</v>
      </c>
      <c r="AF100" s="55" t="n">
        <f aca="false">IFERROR(J100/H100,"n/a")</f>
        <v>4.96666666666667</v>
      </c>
      <c r="AG100" s="56" t="n">
        <v>2.11935391652373</v>
      </c>
      <c r="AH100" s="47" t="s">
        <v>190</v>
      </c>
      <c r="AI100" s="48" t="n">
        <v>0.1</v>
      </c>
      <c r="AJ100" s="61" t="s">
        <v>191</v>
      </c>
    </row>
    <row r="101" customFormat="false" ht="16.5" hidden="false" customHeight="true" outlineLevel="0" collapsed="false">
      <c r="A101" s="95" t="s">
        <v>94</v>
      </c>
      <c r="B101" s="96" t="s">
        <v>95</v>
      </c>
      <c r="C101" s="30" t="n">
        <v>876</v>
      </c>
      <c r="D101" s="30" t="n">
        <v>452</v>
      </c>
      <c r="E101" s="30" t="n">
        <v>1110</v>
      </c>
      <c r="F101" s="30" t="n">
        <v>1905</v>
      </c>
      <c r="G101" s="30" t="n">
        <v>617</v>
      </c>
      <c r="H101" s="50" t="s">
        <v>89</v>
      </c>
      <c r="I101" s="30" t="n">
        <v>1718</v>
      </c>
      <c r="J101" s="31" t="n">
        <v>4353</v>
      </c>
      <c r="K101" s="31" t="n">
        <v>6856</v>
      </c>
      <c r="L101" s="31" t="n">
        <v>7</v>
      </c>
      <c r="M101" s="31" t="n">
        <v>2967</v>
      </c>
      <c r="N101" s="50" t="s">
        <v>89</v>
      </c>
      <c r="O101" s="31" t="n">
        <v>9220</v>
      </c>
      <c r="P101" s="31" t="n">
        <v>188</v>
      </c>
      <c r="Q101" s="50" t="s">
        <v>89</v>
      </c>
      <c r="R101" s="33" t="n">
        <f aca="false">IFERROR(AVERAGEIF(C101:I101,"&gt;0"),0)</f>
        <v>1113</v>
      </c>
      <c r="S101" s="34" t="n">
        <f aca="false">IFERROR(AVERAGEIF(J101:P101,"&gt;0"),0)</f>
        <v>3931.83333333333</v>
      </c>
      <c r="T101" s="89" t="n">
        <f aca="false">S101-R101</f>
        <v>2818.83333333333</v>
      </c>
      <c r="U101" s="51" t="n">
        <f aca="false">IFERROR(S101/R101,"n/a")</f>
        <v>3.53264450434262</v>
      </c>
      <c r="V101" s="69" t="n">
        <f aca="false">IFERROR(S101/$C$3,0)</f>
        <v>1.13883321503488E-005</v>
      </c>
      <c r="W101" s="69" t="n">
        <f aca="false">IFERROR(T101/$D$4,0)</f>
        <v>1.92413375130481E-005</v>
      </c>
      <c r="X101" s="73" t="n">
        <f aca="false">IFERROR((V101+W101)/2,0)</f>
        <v>1.53148348316985E-005</v>
      </c>
      <c r="Y101" s="66" t="n">
        <v>0.99995031686958</v>
      </c>
      <c r="Z101" s="41" t="n">
        <f aca="false">IFERROR(POWER(P101/C101,1/13)-1,"n/a")</f>
        <v>-0.111640503118973</v>
      </c>
      <c r="AA101" s="41" t="n">
        <f aca="false">IFERROR(POWER(P101/J101,1/6)-1,"n/a")</f>
        <v>-0.407672998848797</v>
      </c>
      <c r="AB101" s="42" t="n">
        <f aca="false">IFERROR(AA101-Z101,"n/a")</f>
        <v>-0.296032495729823</v>
      </c>
      <c r="AC101" s="43" t="n">
        <f aca="false">IFERROR(SLOPE(C101:P101,{1,2,3,4,5,6,7,8,9,10,11,12,13,14})/AVERAGEIF(C101:P101,"&gt;0"),"n/a")</f>
        <v>0.116687363042111</v>
      </c>
      <c r="AD101" s="44" t="n">
        <f aca="false">IFERROR(SLOPE(J101:P101,{1,2,3,4,5,6,7})/AVERAGEIF(J101:P101,"&gt;0"),"n/a")</f>
        <v>-0.0364171935239015</v>
      </c>
      <c r="AE101" s="83" t="n">
        <f aca="false">IFERROR(J101/I101,"n/a")</f>
        <v>2.5337601862631</v>
      </c>
      <c r="AF101" s="46" t="str">
        <f aca="false">IFERROR(J101/H101,"n/a")</f>
        <v>n/a</v>
      </c>
      <c r="AG101" s="56" t="n">
        <v>1.19638845322369</v>
      </c>
      <c r="AH101" s="47" t="s">
        <v>190</v>
      </c>
      <c r="AI101" s="48" t="n">
        <v>0.1</v>
      </c>
      <c r="AJ101" s="61" t="s">
        <v>191</v>
      </c>
    </row>
    <row r="102" customFormat="false" ht="16.5" hidden="false" customHeight="true" outlineLevel="0" collapsed="false">
      <c r="A102" s="95" t="s">
        <v>254</v>
      </c>
      <c r="B102" s="96" t="s">
        <v>255</v>
      </c>
      <c r="C102" s="30" t="n">
        <v>142</v>
      </c>
      <c r="D102" s="30" t="n">
        <v>2956</v>
      </c>
      <c r="E102" s="30" t="n">
        <v>1798</v>
      </c>
      <c r="F102" s="30" t="n">
        <v>3510</v>
      </c>
      <c r="G102" s="30" t="n">
        <v>1376</v>
      </c>
      <c r="H102" s="30" t="n">
        <v>1548</v>
      </c>
      <c r="I102" s="30" t="n">
        <v>2321</v>
      </c>
      <c r="J102" s="31" t="n">
        <v>2080</v>
      </c>
      <c r="K102" s="31" t="n">
        <v>1072</v>
      </c>
      <c r="L102" s="31" t="n">
        <v>639</v>
      </c>
      <c r="M102" s="31" t="n">
        <v>3094</v>
      </c>
      <c r="N102" s="31" t="n">
        <v>2580</v>
      </c>
      <c r="O102" s="31" t="n">
        <v>6736</v>
      </c>
      <c r="P102" s="31" t="n">
        <v>10546</v>
      </c>
      <c r="Q102" s="32" t="n">
        <v>2580</v>
      </c>
      <c r="R102" s="33" t="n">
        <f aca="false">IFERROR(AVERAGEIF(C102:I102,"&gt;0"),0)</f>
        <v>1950.14285714286</v>
      </c>
      <c r="S102" s="34" t="n">
        <f aca="false">IFERROR(AVERAGEIF(J102:P102,"&gt;0"),0)</f>
        <v>3821</v>
      </c>
      <c r="T102" s="89" t="n">
        <f aca="false">S102-R102</f>
        <v>1870.85714285714</v>
      </c>
      <c r="U102" s="36" t="n">
        <f aca="false">IFERROR(S102/R102,"n/a")</f>
        <v>1.95934363782873</v>
      </c>
      <c r="V102" s="69" t="n">
        <f aca="false">IFERROR(S102/$C$3,0)</f>
        <v>1.10673096892415E-005</v>
      </c>
      <c r="W102" s="69" t="n">
        <f aca="false">IFERROR(T102/$D$4,0)</f>
        <v>1.27704583661365E-005</v>
      </c>
      <c r="X102" s="73" t="n">
        <f aca="false">IFERROR((V102+W102)/2,0)</f>
        <v>1.1918884027689E-005</v>
      </c>
      <c r="Y102" s="66" t="n">
        <v>0.999962352001887</v>
      </c>
      <c r="Z102" s="59" t="n">
        <f aca="false">IFERROR(POWER(P102/C102,1/13)-1,"n/a")</f>
        <v>0.392860581620109</v>
      </c>
      <c r="AA102" s="59" t="n">
        <f aca="false">IFERROR(POWER(P102/J102,1/6)-1,"n/a")</f>
        <v>0.310702331635767</v>
      </c>
      <c r="AB102" s="42" t="n">
        <f aca="false">IFERROR(AA102-Z102,"n/a")</f>
        <v>-0.0821582499843423</v>
      </c>
      <c r="AC102" s="43" t="n">
        <f aca="false">IFERROR(SLOPE(C102:P102,{1,2,3,4,5,6,7,8,9,10,11,12,13,14})/AVERAGEIF(C102:P102,"&gt;0"),"n/a")</f>
        <v>0.133749195504728</v>
      </c>
      <c r="AD102" s="43" t="n">
        <f aca="false">IFERROR(SLOPE(J102:P102,{1,2,3,4,5,6,7})/AVERAGEIF(J102:P102,"&gt;0"),"n/a")</f>
        <v>0.361414364227764</v>
      </c>
      <c r="AE102" s="46" t="n">
        <f aca="false">IFERROR(J102/I102,"n/a")</f>
        <v>0.896165445928479</v>
      </c>
      <c r="AF102" s="46" t="n">
        <f aca="false">IFERROR(J102/H102,"n/a")</f>
        <v>1.34366925064599</v>
      </c>
      <c r="AG102" s="56" t="n">
        <v>1.73270522550816</v>
      </c>
      <c r="AH102" s="47" t="s">
        <v>172</v>
      </c>
      <c r="AI102" s="60" t="n">
        <v>0.15</v>
      </c>
      <c r="AJ102" s="61" t="s">
        <v>173</v>
      </c>
    </row>
    <row r="103" customFormat="false" ht="16.5" hidden="false" customHeight="true" outlineLevel="0" collapsed="false">
      <c r="A103" s="95" t="s">
        <v>87</v>
      </c>
      <c r="B103" s="96" t="s">
        <v>88</v>
      </c>
      <c r="C103" s="30" t="n">
        <v>1852</v>
      </c>
      <c r="D103" s="30" t="n">
        <v>10827</v>
      </c>
      <c r="E103" s="30" t="n">
        <v>13590</v>
      </c>
      <c r="F103" s="30" t="n">
        <v>3668</v>
      </c>
      <c r="G103" s="30" t="n">
        <v>1780</v>
      </c>
      <c r="H103" s="30" t="n">
        <v>3153</v>
      </c>
      <c r="I103" s="30" t="n">
        <v>1233</v>
      </c>
      <c r="J103" s="31" t="n">
        <v>4756</v>
      </c>
      <c r="K103" s="31" t="n">
        <v>805</v>
      </c>
      <c r="L103" s="31" t="n">
        <v>7520</v>
      </c>
      <c r="M103" s="31" t="n">
        <v>2489</v>
      </c>
      <c r="N103" s="31" t="n">
        <v>6618</v>
      </c>
      <c r="O103" s="31" t="n">
        <v>3967</v>
      </c>
      <c r="P103" s="31" t="n">
        <v>15201</v>
      </c>
      <c r="Q103" s="32" t="n">
        <v>6618</v>
      </c>
      <c r="R103" s="33" t="n">
        <f aca="false">IFERROR(AVERAGEIF(C103:I103,"&gt;0"),0)</f>
        <v>5157.57142857143</v>
      </c>
      <c r="S103" s="34" t="n">
        <f aca="false">IFERROR(AVERAGEIF(J103:P103,"&gt;0"),0)</f>
        <v>5908</v>
      </c>
      <c r="T103" s="89" t="n">
        <f aca="false">S103-R103</f>
        <v>750.428571428572</v>
      </c>
      <c r="U103" s="68" t="n">
        <f aca="false">IFERROR(S103/R103,"n/a")</f>
        <v>1.14550037393014</v>
      </c>
      <c r="V103" s="69" t="n">
        <f aca="false">IFERROR(S103/$C$3,0)</f>
        <v>1.71121867689188E-005</v>
      </c>
      <c r="W103" s="69" t="n">
        <f aca="false">IFERROR(T103/$D$4,0)</f>
        <v>5.12242041824338E-006</v>
      </c>
      <c r="X103" s="73" t="n">
        <f aca="false">IFERROR((V103+W103)/2,0)</f>
        <v>1.11173035935811E-005</v>
      </c>
      <c r="Y103" s="66" t="n">
        <v>0.999973649047651</v>
      </c>
      <c r="Z103" s="53" t="n">
        <f aca="false">IFERROR(POWER(P103/C103,1/13)-1,"n/a")</f>
        <v>0.175778393346764</v>
      </c>
      <c r="AA103" s="59" t="n">
        <f aca="false">IFERROR(POWER(P103/J103,1/6)-1,"n/a")</f>
        <v>0.21368239450949</v>
      </c>
      <c r="AB103" s="57" t="n">
        <f aca="false">IFERROR(AA103-Z103,"n/a")</f>
        <v>0.0379040011627254</v>
      </c>
      <c r="AC103" s="43" t="n">
        <f aca="false">IFERROR(SLOPE(C103:P103,{1,2,3,4,5,6,7,8,9,10,11,12,13,14})/AVERAGEIF(C103:P103,"&gt;0"),"n/a")</f>
        <v>0.0207573833104759</v>
      </c>
      <c r="AD103" s="43" t="n">
        <f aca="false">IFERROR(SLOPE(J103:P103,{1,2,3,4,5,6,7})/AVERAGEIF(J103:P103,"&gt;0"),"n/a")</f>
        <v>0.222198713608666</v>
      </c>
      <c r="AE103" s="54" t="n">
        <f aca="false">IFERROR(J103/I103,"n/a")</f>
        <v>3.85725871857259</v>
      </c>
      <c r="AF103" s="71" t="n">
        <f aca="false">IFERROR(J103/H103,"n/a")</f>
        <v>1.50840469394228</v>
      </c>
      <c r="AG103" s="56" t="n">
        <v>1.45486346197247</v>
      </c>
      <c r="AH103" s="47" t="s">
        <v>357</v>
      </c>
      <c r="AI103" s="48" t="n">
        <v>0.0275</v>
      </c>
      <c r="AJ103" s="49" t="s">
        <v>350</v>
      </c>
    </row>
    <row r="104" customFormat="false" ht="16.5" hidden="false" customHeight="true" outlineLevel="0" collapsed="false">
      <c r="A104" s="95" t="s">
        <v>278</v>
      </c>
      <c r="B104" s="96" t="s">
        <v>279</v>
      </c>
      <c r="C104" s="50" t="s">
        <v>89</v>
      </c>
      <c r="D104" s="30" t="n">
        <v>483</v>
      </c>
      <c r="E104" s="50" t="s">
        <v>89</v>
      </c>
      <c r="F104" s="30" t="n">
        <v>2289</v>
      </c>
      <c r="G104" s="50" t="s">
        <v>89</v>
      </c>
      <c r="H104" s="50" t="s">
        <v>89</v>
      </c>
      <c r="I104" s="30" t="n">
        <v>482</v>
      </c>
      <c r="J104" s="31" t="n">
        <v>1602</v>
      </c>
      <c r="K104" s="31" t="n">
        <v>1545</v>
      </c>
      <c r="L104" s="31" t="n">
        <v>3326</v>
      </c>
      <c r="M104" s="31" t="n">
        <v>2212</v>
      </c>
      <c r="N104" s="31" t="n">
        <v>3329</v>
      </c>
      <c r="O104" s="31" t="n">
        <v>1656</v>
      </c>
      <c r="P104" s="31" t="n">
        <v>2084</v>
      </c>
      <c r="Q104" s="32" t="n">
        <v>3329</v>
      </c>
      <c r="R104" s="33" t="n">
        <f aca="false">IFERROR(AVERAGEIF(C104:I104,"&gt;0"),0)</f>
        <v>1084.66666666667</v>
      </c>
      <c r="S104" s="34" t="n">
        <f aca="false">IFERROR(AVERAGEIF(J104:P104,"&gt;0"),0)</f>
        <v>2250.57142857143</v>
      </c>
      <c r="T104" s="89" t="n">
        <f aca="false">S104-R104</f>
        <v>1165.90476190476</v>
      </c>
      <c r="U104" s="51" t="n">
        <f aca="false">IFERROR(S104/R104,"n/a")</f>
        <v>2.07489683027483</v>
      </c>
      <c r="V104" s="69" t="n">
        <f aca="false">IFERROR(S104/$C$3,0)</f>
        <v>6.51865244118257E-006</v>
      </c>
      <c r="W104" s="69" t="n">
        <f aca="false">IFERROR(T104/$D$4,0)</f>
        <v>7.9584581204563E-006</v>
      </c>
      <c r="X104" s="73" t="n">
        <f aca="false">IFERROR((V104+W104)/2,0)</f>
        <v>7.23855528081943E-006</v>
      </c>
      <c r="Y104" s="66" t="n">
        <v>0.999980956073242</v>
      </c>
      <c r="Z104" s="53" t="str">
        <f aca="false">IFERROR(POWER(P104/C104,1/13)-1,"n/a")</f>
        <v>n/a</v>
      </c>
      <c r="AA104" s="40" t="n">
        <f aca="false">IFERROR(POWER(P104/J104,1/6)-1,"n/a")</f>
        <v>0.0448145224734935</v>
      </c>
      <c r="AB104" s="42" t="str">
        <f aca="false">IFERROR(AA104-Z104,"n/a")</f>
        <v>n/a</v>
      </c>
      <c r="AC104" s="43" t="n">
        <f aca="false">IFERROR(SLOPE(C104:P104,{1,2,3,4,5,6,7,8,9,10,11,12,13,14})/AVERAGEIF(C104:P104,"&gt;0"),"n/a")</f>
        <v>0.0682705475149505</v>
      </c>
      <c r="AD104" s="43" t="n">
        <f aca="false">IFERROR(SLOPE(J104:P104,{1,2,3,4,5,6,7})/AVERAGEIF(J104:P104,"&gt;0"),"n/a")</f>
        <v>0.0265170750285642</v>
      </c>
      <c r="AE104" s="54" t="n">
        <f aca="false">IFERROR(J104/I104,"n/a")</f>
        <v>3.32365145228216</v>
      </c>
      <c r="AF104" s="46" t="str">
        <f aca="false">IFERROR(J104/H104,"n/a")</f>
        <v>n/a</v>
      </c>
      <c r="AG104" s="56" t="n">
        <v>1.04699335618467</v>
      </c>
      <c r="AH104" s="47" t="s">
        <v>136</v>
      </c>
      <c r="AI104" s="48" t="n">
        <v>0.05</v>
      </c>
      <c r="AJ104" s="49" t="s">
        <v>137</v>
      </c>
    </row>
    <row r="105" customFormat="false" ht="16.5" hidden="false" customHeight="true" outlineLevel="0" collapsed="false">
      <c r="A105" s="95" t="s">
        <v>296</v>
      </c>
      <c r="B105" s="96" t="s">
        <v>297</v>
      </c>
      <c r="C105" s="50" t="s">
        <v>89</v>
      </c>
      <c r="D105" s="50" t="s">
        <v>89</v>
      </c>
      <c r="E105" s="50" t="s">
        <v>89</v>
      </c>
      <c r="F105" s="50" t="s">
        <v>89</v>
      </c>
      <c r="G105" s="30" t="n">
        <v>2051</v>
      </c>
      <c r="H105" s="50" t="s">
        <v>89</v>
      </c>
      <c r="I105" s="50" t="s">
        <v>89</v>
      </c>
      <c r="J105" s="50" t="s">
        <v>89</v>
      </c>
      <c r="K105" s="50" t="s">
        <v>89</v>
      </c>
      <c r="L105" s="31" t="n">
        <v>2603</v>
      </c>
      <c r="M105" s="50" t="s">
        <v>89</v>
      </c>
      <c r="N105" s="50" t="s">
        <v>89</v>
      </c>
      <c r="O105" s="50" t="s">
        <v>89</v>
      </c>
      <c r="P105" s="50" t="s">
        <v>89</v>
      </c>
      <c r="Q105" s="50" t="s">
        <v>89</v>
      </c>
      <c r="R105" s="33" t="n">
        <f aca="false">IFERROR(AVERAGEIF(C105:I105,"&gt;0"),0)</f>
        <v>2051</v>
      </c>
      <c r="S105" s="34" t="n">
        <f aca="false">IFERROR(AVERAGEIF(J105:P105,"&gt;0"),0)</f>
        <v>2603</v>
      </c>
      <c r="T105" s="89" t="n">
        <f aca="false">S105-R105</f>
        <v>552</v>
      </c>
      <c r="U105" s="36" t="n">
        <f aca="false">IFERROR(S105/R105,"n/a")</f>
        <v>1.26913700633837</v>
      </c>
      <c r="V105" s="69" t="n">
        <f aca="false">IFERROR(S105/$C$3,0)</f>
        <v>7.53944180086248E-006</v>
      </c>
      <c r="W105" s="69" t="n">
        <f aca="false">IFERROR(T105/$D$4,0)</f>
        <v>3.76794831450455E-006</v>
      </c>
      <c r="X105" s="73" t="n">
        <f aca="false">IFERROR((V105+W105)/2,0)</f>
        <v>5.65369505768352E-006</v>
      </c>
      <c r="Y105" s="66" t="n">
        <v>0.999986688960728</v>
      </c>
      <c r="Z105" s="40" t="str">
        <f aca="false">IFERROR(POWER(P105/C105,1/13)-1,"n/a")</f>
        <v>n/a</v>
      </c>
      <c r="AA105" s="40" t="str">
        <f aca="false">IFERROR(POWER(P105/J105,1/6)-1,"n/a")</f>
        <v>n/a</v>
      </c>
      <c r="AB105" s="92" t="str">
        <f aca="false">IFERROR(AA105-Z105,"n/a")</f>
        <v>n/a</v>
      </c>
      <c r="AC105" s="90" t="n">
        <f aca="false">IFERROR(SLOPE(C105:P105,{1,2,3,4,5,6,7,8,9,10,11,12,13,14})/AVERAGEIF(C105:P105,"&gt;0"),"n/a")</f>
        <v>0.0474430597335625</v>
      </c>
      <c r="AD105" s="90" t="str">
        <f aca="false">IFERROR(SLOPE(J105:P105,{1,2,3,4,5,6,7})/AVERAGEIF(J105:P105,"&gt;0"),"n/a")</f>
        <v>n/a</v>
      </c>
      <c r="AE105" s="46" t="str">
        <f aca="false">IFERROR(J105/I105,"n/a")</f>
        <v>n/a</v>
      </c>
      <c r="AF105" s="46" t="str">
        <f aca="false">IFERROR(J105/H105,"n/a")</f>
        <v>n/a</v>
      </c>
      <c r="AG105" s="91" t="s">
        <v>167</v>
      </c>
      <c r="AH105" s="47" t="s">
        <v>90</v>
      </c>
      <c r="AI105" s="48" t="n">
        <v>0.025</v>
      </c>
      <c r="AJ105" s="49" t="s">
        <v>91</v>
      </c>
    </row>
    <row r="106" customFormat="false" ht="16.5" hidden="false" customHeight="true" outlineLevel="0" collapsed="false">
      <c r="A106" s="95" t="s">
        <v>170</v>
      </c>
      <c r="B106" s="96" t="s">
        <v>171</v>
      </c>
      <c r="C106" s="30" t="n">
        <v>69</v>
      </c>
      <c r="D106" s="50" t="s">
        <v>89</v>
      </c>
      <c r="E106" s="30" t="n">
        <v>223</v>
      </c>
      <c r="F106" s="30" t="n">
        <v>48</v>
      </c>
      <c r="G106" s="30" t="n">
        <v>604</v>
      </c>
      <c r="H106" s="30" t="n">
        <v>1015</v>
      </c>
      <c r="I106" s="30" t="n">
        <v>366</v>
      </c>
      <c r="J106" s="31" t="n">
        <v>1649</v>
      </c>
      <c r="K106" s="31" t="n">
        <v>1877</v>
      </c>
      <c r="L106" s="31" t="n">
        <v>1079</v>
      </c>
      <c r="M106" s="31" t="n">
        <v>1887</v>
      </c>
      <c r="N106" s="31" t="n">
        <v>625</v>
      </c>
      <c r="O106" s="31" t="n">
        <v>31</v>
      </c>
      <c r="P106" s="31" t="n">
        <v>99</v>
      </c>
      <c r="Q106" s="32" t="n">
        <v>625</v>
      </c>
      <c r="R106" s="33" t="n">
        <f aca="false">IFERROR(AVERAGEIF(C106:I106,"&gt;0"),0)</f>
        <v>387.5</v>
      </c>
      <c r="S106" s="34" t="n">
        <f aca="false">IFERROR(AVERAGEIF(J106:P106,"&gt;0"),0)</f>
        <v>1035.28571428571</v>
      </c>
      <c r="T106" s="89" t="n">
        <f aca="false">S106-R106</f>
        <v>647.785714285714</v>
      </c>
      <c r="U106" s="51" t="n">
        <f aca="false">IFERROR(S106/R106,"n/a")</f>
        <v>2.67170506912442</v>
      </c>
      <c r="V106" s="69" t="n">
        <f aca="false">IFERROR(S106/$C$3,0)</f>
        <v>2.99864632736131E-006</v>
      </c>
      <c r="W106" s="69" t="n">
        <f aca="false">IFERROR(T106/$D$4,0)</f>
        <v>4.42178096069381E-006</v>
      </c>
      <c r="X106" s="73" t="n">
        <f aca="false">IFERROR((V106+W106)/2,0)</f>
        <v>3.71021364402756E-006</v>
      </c>
      <c r="Y106" s="66" t="n">
        <v>0.99999043067141</v>
      </c>
      <c r="Z106" s="40" t="n">
        <f aca="false">IFERROR(POWER(P106/C106,1/13)-1,"n/a")</f>
        <v>0.0281594452087859</v>
      </c>
      <c r="AA106" s="41" t="n">
        <f aca="false">IFERROR(POWER(P106/J106,1/6)-1,"n/a")</f>
        <v>-0.374247745252185</v>
      </c>
      <c r="AB106" s="42" t="n">
        <f aca="false">IFERROR(AA106-Z106,"n/a")</f>
        <v>-0.402407190460971</v>
      </c>
      <c r="AC106" s="43" t="n">
        <f aca="false">IFERROR(SLOPE(C106:P106,{1,2,3,4,5,6,7,8,9,10,11,12,13,14})/AVERAGEIF(C106:P106,"&gt;0"),"n/a")</f>
        <v>0.05353349894836</v>
      </c>
      <c r="AD106" s="44" t="n">
        <f aca="false">IFERROR(SLOPE(J106:P106,{1,2,3,4,5,6,7})/AVERAGEIF(J106:P106,"&gt;0"),"n/a")</f>
        <v>-0.303435904512212</v>
      </c>
      <c r="AE106" s="54" t="n">
        <f aca="false">IFERROR(J106/I106,"n/a")</f>
        <v>4.50546448087432</v>
      </c>
      <c r="AF106" s="71" t="n">
        <f aca="false">IFERROR(J106/H106,"n/a")</f>
        <v>1.62463054187192</v>
      </c>
      <c r="AG106" s="72" t="n">
        <v>0.243089094337887</v>
      </c>
      <c r="AH106" s="47" t="s">
        <v>190</v>
      </c>
      <c r="AI106" s="48" t="n">
        <v>0.1</v>
      </c>
      <c r="AJ106" s="61" t="s">
        <v>191</v>
      </c>
    </row>
    <row r="107" customFormat="false" ht="16.5" hidden="false" customHeight="true" outlineLevel="0" collapsed="false">
      <c r="A107" s="95" t="s">
        <v>322</v>
      </c>
      <c r="B107" s="96" t="s">
        <v>323</v>
      </c>
      <c r="C107" s="30" t="n">
        <v>52</v>
      </c>
      <c r="D107" s="30" t="n">
        <v>20</v>
      </c>
      <c r="E107" s="30" t="n">
        <v>21</v>
      </c>
      <c r="F107" s="30" t="n">
        <v>30</v>
      </c>
      <c r="G107" s="30" t="n">
        <v>2</v>
      </c>
      <c r="H107" s="30" t="n">
        <v>118</v>
      </c>
      <c r="I107" s="30" t="n">
        <v>50</v>
      </c>
      <c r="J107" s="31" t="n">
        <v>49</v>
      </c>
      <c r="K107" s="31" t="n">
        <v>416</v>
      </c>
      <c r="L107" s="31" t="n">
        <v>498</v>
      </c>
      <c r="M107" s="31" t="n">
        <v>784</v>
      </c>
      <c r="N107" s="31" t="n">
        <v>390</v>
      </c>
      <c r="O107" s="31" t="n">
        <v>1773</v>
      </c>
      <c r="P107" s="31" t="n">
        <v>1194</v>
      </c>
      <c r="Q107" s="32" t="n">
        <v>390</v>
      </c>
      <c r="R107" s="33" t="n">
        <f aca="false">IFERROR(AVERAGEIF(C107:I107,"&gt;0"),0)</f>
        <v>41.8571428571429</v>
      </c>
      <c r="S107" s="34" t="n">
        <f aca="false">IFERROR(AVERAGEIF(J107:P107,"&gt;0"),0)</f>
        <v>729.142857142857</v>
      </c>
      <c r="T107" s="89" t="n">
        <f aca="false">S107-R107</f>
        <v>687.285714285714</v>
      </c>
      <c r="U107" s="51" t="n">
        <f aca="false">IFERROR(S107/R107,"n/a")</f>
        <v>17.419795221843</v>
      </c>
      <c r="V107" s="69" t="n">
        <f aca="false">IFERROR(S107/$C$3,0)</f>
        <v>2.11192091277109E-006</v>
      </c>
      <c r="W107" s="69" t="n">
        <f aca="false">IFERROR(T107/$D$4,0)</f>
        <v>4.69140769696723E-006</v>
      </c>
      <c r="X107" s="73" t="n">
        <f aca="false">IFERROR((V107+W107)/2,0)</f>
        <v>3.40166430486916E-006</v>
      </c>
      <c r="Y107" s="66" t="n">
        <v>0.999993854518809</v>
      </c>
      <c r="Z107" s="59" t="n">
        <f aca="false">IFERROR(POWER(P107/C107,1/13)-1,"n/a")</f>
        <v>0.272601360875695</v>
      </c>
      <c r="AA107" s="59" t="n">
        <f aca="false">IFERROR(POWER(P107/J107,1/6)-1,"n/a")</f>
        <v>0.702686559272738</v>
      </c>
      <c r="AB107" s="70" t="n">
        <f aca="false">IFERROR(AA107-Z107,"n/a")</f>
        <v>0.430085198397044</v>
      </c>
      <c r="AC107" s="43" t="n">
        <f aca="false">IFERROR(SLOPE(C107:P107,{1,2,3,4,5,6,7,8,9,10,11,12,13,14})/AVERAGEIF(C107:P107,"&gt;0"),"n/a")</f>
        <v>0.262829777226664</v>
      </c>
      <c r="AD107" s="43" t="n">
        <f aca="false">IFERROR(SLOPE(J107:P107,{1,2,3,4,5,6,7})/AVERAGEIF(J107:P107,"&gt;0"),"n/a")</f>
        <v>0.295895376175549</v>
      </c>
      <c r="AE107" s="46" t="n">
        <f aca="false">IFERROR(J107/I107,"n/a")</f>
        <v>0.98</v>
      </c>
      <c r="AF107" s="46" t="n">
        <f aca="false">IFERROR(J107/H107,"n/a")</f>
        <v>0.415254237288136</v>
      </c>
      <c r="AG107" s="56" t="n">
        <v>1.53467868338558</v>
      </c>
      <c r="AH107" s="47" t="s">
        <v>90</v>
      </c>
      <c r="AI107" s="48" t="n">
        <v>0.025</v>
      </c>
      <c r="AJ107" s="49" t="s">
        <v>91</v>
      </c>
    </row>
    <row r="108" customFormat="false" ht="16.5" hidden="false" customHeight="true" outlineLevel="0" collapsed="false">
      <c r="A108" s="95" t="s">
        <v>280</v>
      </c>
      <c r="B108" s="96" t="s">
        <v>281</v>
      </c>
      <c r="C108" s="50" t="s">
        <v>89</v>
      </c>
      <c r="D108" s="30" t="n">
        <v>21</v>
      </c>
      <c r="E108" s="30" t="n">
        <v>203</v>
      </c>
      <c r="F108" s="30" t="n">
        <v>551</v>
      </c>
      <c r="G108" s="30" t="n">
        <v>65</v>
      </c>
      <c r="H108" s="30" t="n">
        <v>109</v>
      </c>
      <c r="I108" s="30" t="n">
        <v>383</v>
      </c>
      <c r="J108" s="31" t="n">
        <v>3196</v>
      </c>
      <c r="K108" s="31" t="n">
        <v>121</v>
      </c>
      <c r="L108" s="50" t="s">
        <v>89</v>
      </c>
      <c r="M108" s="50" t="s">
        <v>89</v>
      </c>
      <c r="N108" s="31" t="n">
        <v>29</v>
      </c>
      <c r="O108" s="31" t="n">
        <v>6</v>
      </c>
      <c r="P108" s="31" t="n">
        <v>421</v>
      </c>
      <c r="Q108" s="32" t="n">
        <v>29</v>
      </c>
      <c r="R108" s="33" t="n">
        <f aca="false">IFERROR(AVERAGEIF(C108:I108,"&gt;0"),0)</f>
        <v>222</v>
      </c>
      <c r="S108" s="34" t="n">
        <f aca="false">IFERROR(AVERAGEIF(J108:P108,"&gt;0"),0)</f>
        <v>754.6</v>
      </c>
      <c r="T108" s="89" t="n">
        <f aca="false">S108-R108</f>
        <v>532.6</v>
      </c>
      <c r="U108" s="51" t="n">
        <f aca="false">IFERROR(S108/R108,"n/a")</f>
        <v>3.3990990990991</v>
      </c>
      <c r="V108" s="69" t="n">
        <f aca="false">IFERROR(S108/$C$3,0)</f>
        <v>2.18565608257043E-006</v>
      </c>
      <c r="W108" s="69" t="n">
        <f aca="false">IFERROR(T108/$D$4,0)</f>
        <v>3.63552404403102E-006</v>
      </c>
      <c r="X108" s="73" t="n">
        <f aca="false">IFERROR((V108+W108)/2,0)</f>
        <v>2.91059006330073E-006</v>
      </c>
      <c r="Y108" s="66" t="n">
        <v>0.999996788066463</v>
      </c>
      <c r="Z108" s="59" t="str">
        <f aca="false">IFERROR(POWER(P108/C108,1/13)-1,"n/a")</f>
        <v>n/a</v>
      </c>
      <c r="AA108" s="41" t="n">
        <f aca="false">IFERROR(POWER(P108/J108,1/6)-1,"n/a")</f>
        <v>-0.286688508051785</v>
      </c>
      <c r="AB108" s="42" t="str">
        <f aca="false">IFERROR(AA108-Z108,"n/a")</f>
        <v>n/a</v>
      </c>
      <c r="AC108" s="43" t="n">
        <f aca="false">IFERROR(SLOPE(C108:P108,{1,2,3,4,5,6,7,8,9,10,11,12,13,14})/AVERAGEIF(C108:P108,"&gt;0"),"n/a")</f>
        <v>0.0125678099068952</v>
      </c>
      <c r="AD108" s="44" t="n">
        <f aca="false">IFERROR(SLOPE(J108:P108,{1,2,3,4,5,6,7})/AVERAGEIF(J108:P108,"&gt;0"),"n/a")</f>
        <v>-0.458906764876914</v>
      </c>
      <c r="AE108" s="54" t="n">
        <f aca="false">IFERROR(J108/I108,"n/a")</f>
        <v>8.34464751958225</v>
      </c>
      <c r="AF108" s="55" t="n">
        <f aca="false">IFERROR(J108/H108,"n/a")</f>
        <v>29.3211009174312</v>
      </c>
      <c r="AG108" s="72" t="n">
        <v>0.201431221839385</v>
      </c>
      <c r="AH108" s="47" t="s">
        <v>340</v>
      </c>
      <c r="AI108" s="48" t="n">
        <v>0.02</v>
      </c>
      <c r="AJ108" s="49" t="s">
        <v>341</v>
      </c>
    </row>
    <row r="109" customFormat="false" ht="16.5" hidden="false" customHeight="true" outlineLevel="0" collapsed="false">
      <c r="A109" s="95" t="s">
        <v>316</v>
      </c>
      <c r="B109" s="96" t="s">
        <v>317</v>
      </c>
      <c r="C109" s="50" t="s">
        <v>89</v>
      </c>
      <c r="D109" s="30" t="n">
        <v>70</v>
      </c>
      <c r="E109" s="30" t="n">
        <v>52</v>
      </c>
      <c r="F109" s="30" t="n">
        <v>88</v>
      </c>
      <c r="G109" s="30" t="n">
        <v>38</v>
      </c>
      <c r="H109" s="50" t="s">
        <v>89</v>
      </c>
      <c r="I109" s="30" t="n">
        <v>42</v>
      </c>
      <c r="J109" s="31" t="n">
        <v>158</v>
      </c>
      <c r="K109" s="31" t="n">
        <v>1357</v>
      </c>
      <c r="L109" s="31" t="n">
        <v>82</v>
      </c>
      <c r="M109" s="31" t="n">
        <v>1509</v>
      </c>
      <c r="N109" s="31" t="n">
        <v>290</v>
      </c>
      <c r="O109" s="31" t="n">
        <v>86</v>
      </c>
      <c r="P109" s="31" t="n">
        <v>84</v>
      </c>
      <c r="Q109" s="32" t="n">
        <v>290</v>
      </c>
      <c r="R109" s="33" t="n">
        <f aca="false">IFERROR(AVERAGEIF(C109:I109,"&gt;0"),0)</f>
        <v>58</v>
      </c>
      <c r="S109" s="34" t="n">
        <f aca="false">IFERROR(AVERAGEIF(J109:P109,"&gt;0"),0)</f>
        <v>509.428571428571</v>
      </c>
      <c r="T109" s="89" t="n">
        <f aca="false">S109-R109</f>
        <v>451.428571428571</v>
      </c>
      <c r="U109" s="51" t="n">
        <f aca="false">IFERROR(S109/R109,"n/a")</f>
        <v>8.78325123152709</v>
      </c>
      <c r="V109" s="69" t="n">
        <f aca="false">IFERROR(S109/$C$3,0)</f>
        <v>1.47553095120332E-006</v>
      </c>
      <c r="W109" s="69" t="n">
        <f aca="false">IFERROR(T109/$D$4,0)</f>
        <v>3.08144841455341E-006</v>
      </c>
      <c r="X109" s="73" t="n">
        <f aca="false">IFERROR((V109+W109)/2,0)</f>
        <v>2.27848968287836E-006</v>
      </c>
      <c r="Y109" s="66" t="n">
        <v>0.999999082054757</v>
      </c>
      <c r="Z109" s="40" t="str">
        <f aca="false">IFERROR(POWER(P109/C109,1/13)-1,"n/a")</f>
        <v>n/a</v>
      </c>
      <c r="AA109" s="41" t="n">
        <f aca="false">IFERROR(POWER(P109/J109,1/6)-1,"n/a")</f>
        <v>-0.0999422691840017</v>
      </c>
      <c r="AB109" s="42" t="str">
        <f aca="false">IFERROR(AA109-Z109,"n/a")</f>
        <v>n/a</v>
      </c>
      <c r="AC109" s="43" t="n">
        <f aca="false">IFERROR(SLOPE(C109:P109,{1,2,3,4,5,6,7,8,9,10,11,12,13,14})/AVERAGEIF(C109:P109,"&gt;0"),"n/a")</f>
        <v>0.110550162316178</v>
      </c>
      <c r="AD109" s="44" t="n">
        <f aca="false">IFERROR(SLOPE(J109:P109,{1,2,3,4,5,6,7})/AVERAGEIF(J109:P109,"&gt;0"),"n/a")</f>
        <v>-0.179192372406057</v>
      </c>
      <c r="AE109" s="54" t="n">
        <f aca="false">IFERROR(J109/I109,"n/a")</f>
        <v>3.76190476190476</v>
      </c>
      <c r="AF109" s="46" t="str">
        <f aca="false">IFERROR(J109/H109,"n/a")</f>
        <v>n/a</v>
      </c>
      <c r="AG109" s="72" t="n">
        <v>0.300990839409235</v>
      </c>
      <c r="AH109" s="47" t="s">
        <v>346</v>
      </c>
      <c r="AI109" s="48" t="n">
        <v>0.037</v>
      </c>
      <c r="AJ109" s="49" t="s">
        <v>347</v>
      </c>
    </row>
    <row r="110" customFormat="false" ht="16.5" hidden="false" customHeight="true" outlineLevel="0" collapsed="false">
      <c r="A110" s="95" t="s">
        <v>202</v>
      </c>
      <c r="B110" s="96" t="s">
        <v>203</v>
      </c>
      <c r="C110" s="50" t="s">
        <v>89</v>
      </c>
      <c r="D110" s="50" t="s">
        <v>89</v>
      </c>
      <c r="E110" s="50" t="s">
        <v>89</v>
      </c>
      <c r="F110" s="50" t="s">
        <v>89</v>
      </c>
      <c r="G110" s="30" t="n">
        <v>45</v>
      </c>
      <c r="H110" s="50" t="s">
        <v>89</v>
      </c>
      <c r="I110" s="30" t="n">
        <v>4</v>
      </c>
      <c r="J110" s="31" t="n">
        <v>72</v>
      </c>
      <c r="K110" s="50" t="s">
        <v>89</v>
      </c>
      <c r="L110" s="31" t="n">
        <v>18</v>
      </c>
      <c r="M110" s="31" t="n">
        <v>520</v>
      </c>
      <c r="N110" s="50" t="s">
        <v>89</v>
      </c>
      <c r="O110" s="50" t="s">
        <v>89</v>
      </c>
      <c r="P110" s="31" t="n">
        <v>209</v>
      </c>
      <c r="Q110" s="50" t="s">
        <v>89</v>
      </c>
      <c r="R110" s="33" t="n">
        <f aca="false">IFERROR(AVERAGEIF(C110:I110,"&gt;0"),0)</f>
        <v>24.5</v>
      </c>
      <c r="S110" s="34" t="n">
        <f aca="false">IFERROR(AVERAGEIF(J110:P110,"&gt;0"),0)</f>
        <v>204.75</v>
      </c>
      <c r="T110" s="89" t="n">
        <f aca="false">S110-R110</f>
        <v>180.25</v>
      </c>
      <c r="U110" s="51" t="n">
        <f aca="false">IFERROR(S110/R110,"n/a")</f>
        <v>8.35714285714286</v>
      </c>
      <c r="V110" s="69" t="n">
        <f aca="false">IFERROR(S110/$C$3,0)</f>
        <v>5.93046757098192E-007</v>
      </c>
      <c r="W110" s="69" t="n">
        <f aca="false">IFERROR(T110/$D$4,0)</f>
        <v>1.23038529653885E-006</v>
      </c>
      <c r="X110" s="73" t="n">
        <f aca="false">IFERROR((V110+W110)/2,0)</f>
        <v>9.11716026818521E-007</v>
      </c>
      <c r="Y110" s="66" t="n">
        <v>1</v>
      </c>
      <c r="Z110" s="53" t="str">
        <f aca="false">IFERROR(POWER(P110/C110,1/13)-1,"n/a")</f>
        <v>n/a</v>
      </c>
      <c r="AA110" s="53" t="n">
        <f aca="false">IFERROR(POWER(P110/J110,1/6)-1,"n/a")</f>
        <v>0.194361049159278</v>
      </c>
      <c r="AB110" s="57" t="str">
        <f aca="false">IFERROR(AA110-Z110,"n/a")</f>
        <v>n/a</v>
      </c>
      <c r="AC110" s="43" t="n">
        <f aca="false">IFERROR(SLOPE(C110:P110,{1,2,3,4,5,6,7,8,9,10,11,12,13,14})/AVERAGEIF(C110:P110,"&gt;0"),"n/a")</f>
        <v>0.230943567273551</v>
      </c>
      <c r="AD110" s="43" t="n">
        <f aca="false">IFERROR(SLOPE(J110:P110,{1,2,3,4,5,6,7})/AVERAGEIF(J110:P110,"&gt;0"),"n/a")</f>
        <v>0.155702075702076</v>
      </c>
      <c r="AE110" s="54" t="n">
        <f aca="false">IFERROR(J110/I110,"n/a")</f>
        <v>18</v>
      </c>
      <c r="AF110" s="46" t="str">
        <f aca="false">IFERROR(J110/H110,"n/a")</f>
        <v>n/a</v>
      </c>
      <c r="AG110" s="56" t="n">
        <v>1.02075702075702</v>
      </c>
      <c r="AH110" s="47" t="s">
        <v>90</v>
      </c>
      <c r="AI110" s="48" t="n">
        <v>0.025</v>
      </c>
      <c r="AJ110" s="49" t="s">
        <v>91</v>
      </c>
    </row>
    <row r="112" customFormat="false" ht="21.75" hidden="false" customHeight="true" outlineLevel="0" collapsed="false">
      <c r="A112" s="97" t="s">
        <v>358</v>
      </c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97"/>
    </row>
    <row r="113" customFormat="false" ht="15" hidden="false" customHeight="true" outlineLevel="0" collapsed="false">
      <c r="A113" s="94" t="s">
        <v>291</v>
      </c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</row>
    <row r="114" customFormat="false" ht="16.5" hidden="false" customHeight="true" outlineLevel="0" collapsed="false">
      <c r="A114" s="95" t="s">
        <v>196</v>
      </c>
      <c r="B114" s="96" t="s">
        <v>197</v>
      </c>
      <c r="C114" s="30" t="n">
        <v>42</v>
      </c>
      <c r="D114" s="50" t="s">
        <v>89</v>
      </c>
      <c r="E114" s="50" t="s">
        <v>89</v>
      </c>
      <c r="F114" s="50" t="s">
        <v>89</v>
      </c>
      <c r="G114" s="50" t="s">
        <v>89</v>
      </c>
      <c r="H114" s="50" t="s">
        <v>89</v>
      </c>
      <c r="I114" s="50" t="s">
        <v>89</v>
      </c>
      <c r="J114" s="50" t="s">
        <v>89</v>
      </c>
      <c r="K114" s="50" t="s">
        <v>89</v>
      </c>
      <c r="L114" s="50" t="s">
        <v>89</v>
      </c>
      <c r="M114" s="50" t="s">
        <v>89</v>
      </c>
      <c r="N114" s="50" t="s">
        <v>89</v>
      </c>
      <c r="O114" s="50" t="s">
        <v>89</v>
      </c>
      <c r="P114" s="50" t="s">
        <v>89</v>
      </c>
      <c r="Q114" s="50" t="s">
        <v>89</v>
      </c>
      <c r="R114" s="33" t="n">
        <f aca="false">IFERROR(AVERAGEIF(C114:I114,"&gt;0"),0)</f>
        <v>42</v>
      </c>
      <c r="S114" s="34" t="n">
        <f aca="false">IFERROR(AVERAGEIF(J114:P114,"&gt;0"),0)</f>
        <v>0</v>
      </c>
      <c r="T114" s="80" t="n">
        <f aca="false">S114-R114</f>
        <v>-42</v>
      </c>
      <c r="U114" s="81" t="n">
        <f aca="false">IFERROR(S114/R114,"n/a")</f>
        <v>0</v>
      </c>
      <c r="V114" s="69" t="n">
        <f aca="false">IFERROR(S114/$C$3,0)</f>
        <v>0</v>
      </c>
      <c r="W114" s="69" t="n">
        <f aca="false">IFERROR(T114/$D$4,0)</f>
        <v>-2.86691719581868E-007</v>
      </c>
      <c r="X114" s="73" t="n">
        <f aca="false">IFERROR((V114+W114)/2,0)</f>
        <v>-1.43345859790934E-007</v>
      </c>
      <c r="Y114" s="82"/>
      <c r="Z114" s="40" t="str">
        <f aca="false">IFERROR(POWER(P114/C114,1/13)-1,"n/a")</f>
        <v>n/a</v>
      </c>
      <c r="AA114" s="40" t="str">
        <f aca="false">IFERROR(POWER(P114/J114,1/6)-1,"n/a")</f>
        <v>n/a</v>
      </c>
      <c r="AB114" s="92" t="str">
        <f aca="false">IFERROR(AA114-Z114,"n/a")</f>
        <v>n/a</v>
      </c>
      <c r="AC114" s="90" t="str">
        <f aca="false">IFERROR(SLOPE(C114:P114,{1,2,3,4,5,6,7,8,9,10,11,12,13,14})/AVERAGEIF(C114:P114,"&gt;0"),"n/a")</f>
        <v>n/a</v>
      </c>
      <c r="AD114" s="90" t="str">
        <f aca="false">IFERROR(SLOPE(J114:P114,{1,2,3,4,5,6,7})/AVERAGEIF(J114:P114,"&gt;0"),"n/a")</f>
        <v>n/a</v>
      </c>
      <c r="AE114" s="46" t="str">
        <f aca="false">IFERROR(J114/I114,"n/a")</f>
        <v>n/a</v>
      </c>
      <c r="AF114" s="46" t="str">
        <f aca="false">IFERROR(J114/H114,"n/a")</f>
        <v>n/a</v>
      </c>
      <c r="AG114" s="91" t="s">
        <v>167</v>
      </c>
      <c r="AH114" s="47" t="s">
        <v>190</v>
      </c>
      <c r="AI114" s="48" t="n">
        <v>0.1</v>
      </c>
      <c r="AJ114" s="61" t="s">
        <v>191</v>
      </c>
    </row>
    <row r="115" customFormat="false" ht="16.5" hidden="false" customHeight="true" outlineLevel="0" collapsed="false">
      <c r="A115" s="95" t="s">
        <v>294</v>
      </c>
      <c r="B115" s="96" t="s">
        <v>295</v>
      </c>
      <c r="C115" s="50" t="s">
        <v>89</v>
      </c>
      <c r="D115" s="50" t="s">
        <v>89</v>
      </c>
      <c r="E115" s="50" t="s">
        <v>89</v>
      </c>
      <c r="F115" s="50" t="s">
        <v>89</v>
      </c>
      <c r="G115" s="50" t="s">
        <v>89</v>
      </c>
      <c r="H115" s="50" t="s">
        <v>89</v>
      </c>
      <c r="I115" s="50" t="s">
        <v>89</v>
      </c>
      <c r="J115" s="50" t="s">
        <v>89</v>
      </c>
      <c r="K115" s="50" t="s">
        <v>89</v>
      </c>
      <c r="L115" s="50" t="s">
        <v>89</v>
      </c>
      <c r="M115" s="50" t="s">
        <v>89</v>
      </c>
      <c r="N115" s="50" t="s">
        <v>89</v>
      </c>
      <c r="O115" s="50" t="s">
        <v>89</v>
      </c>
      <c r="P115" s="50" t="s">
        <v>89</v>
      </c>
      <c r="Q115" s="50" t="s">
        <v>89</v>
      </c>
      <c r="R115" s="33" t="n">
        <f aca="false">IFERROR(AVERAGEIF(C115:I115,"&gt;0"),0)</f>
        <v>0</v>
      </c>
      <c r="S115" s="34" t="n">
        <f aca="false">IFERROR(AVERAGEIF(J115:P115,"&gt;0"),0)</f>
        <v>0</v>
      </c>
      <c r="T115" s="89" t="n">
        <f aca="false">S115-R115</f>
        <v>0</v>
      </c>
      <c r="U115" s="81" t="str">
        <f aca="false">IFERROR(S115/R115,"n/a")</f>
        <v>n/a</v>
      </c>
      <c r="V115" s="69" t="n">
        <f aca="false">IFERROR(S115/$C$3,0)</f>
        <v>0</v>
      </c>
      <c r="W115" s="69" t="n">
        <f aca="false">IFERROR(T115/$D$4,0)</f>
        <v>0</v>
      </c>
      <c r="X115" s="73" t="n">
        <f aca="false">IFERROR((V115+W115)/2,0)</f>
        <v>0</v>
      </c>
      <c r="Y115" s="82"/>
      <c r="Z115" s="40" t="str">
        <f aca="false">IFERROR(POWER(P115/C115,1/13)-1,"n/a")</f>
        <v>n/a</v>
      </c>
      <c r="AA115" s="40" t="str">
        <f aca="false">IFERROR(POWER(P115/J115,1/6)-1,"n/a")</f>
        <v>n/a</v>
      </c>
      <c r="AB115" s="92" t="str">
        <f aca="false">IFERROR(AA115-Z115,"n/a")</f>
        <v>n/a</v>
      </c>
      <c r="AC115" s="90" t="str">
        <f aca="false">IFERROR(SLOPE(C115:P115,{1,2,3,4,5,6,7,8,9,10,11,12,13,14})/AVERAGEIF(C115:P115,"&gt;0"),"n/a")</f>
        <v>n/a</v>
      </c>
      <c r="AD115" s="90" t="str">
        <f aca="false">IFERROR(SLOPE(J115:P115,{1,2,3,4,5,6,7})/AVERAGEIF(J115:P115,"&gt;0"),"n/a")</f>
        <v>n/a</v>
      </c>
      <c r="AE115" s="46" t="str">
        <f aca="false">IFERROR(J115/I115,"n/a")</f>
        <v>n/a</v>
      </c>
      <c r="AF115" s="46" t="str">
        <f aca="false">IFERROR(J115/H115,"n/a")</f>
        <v>n/a</v>
      </c>
      <c r="AG115" s="91" t="s">
        <v>167</v>
      </c>
      <c r="AH115" s="47" t="s">
        <v>136</v>
      </c>
      <c r="AI115" s="48" t="n">
        <v>0.05</v>
      </c>
      <c r="AJ115" s="49" t="s">
        <v>137</v>
      </c>
    </row>
    <row r="116" customFormat="false" ht="16.5" hidden="false" customHeight="true" outlineLevel="0" collapsed="false">
      <c r="A116" s="95" t="s">
        <v>300</v>
      </c>
      <c r="B116" s="96" t="s">
        <v>301</v>
      </c>
      <c r="C116" s="50" t="s">
        <v>89</v>
      </c>
      <c r="D116" s="50" t="s">
        <v>89</v>
      </c>
      <c r="E116" s="50" t="s">
        <v>89</v>
      </c>
      <c r="F116" s="50" t="s">
        <v>89</v>
      </c>
      <c r="G116" s="50" t="s">
        <v>89</v>
      </c>
      <c r="H116" s="50" t="s">
        <v>89</v>
      </c>
      <c r="I116" s="50" t="s">
        <v>89</v>
      </c>
      <c r="J116" s="50" t="s">
        <v>89</v>
      </c>
      <c r="K116" s="50" t="s">
        <v>89</v>
      </c>
      <c r="L116" s="50" t="s">
        <v>89</v>
      </c>
      <c r="M116" s="50" t="s">
        <v>89</v>
      </c>
      <c r="N116" s="50" t="s">
        <v>89</v>
      </c>
      <c r="O116" s="50" t="s">
        <v>89</v>
      </c>
      <c r="P116" s="50" t="s">
        <v>89</v>
      </c>
      <c r="Q116" s="50" t="s">
        <v>89</v>
      </c>
      <c r="R116" s="33" t="n">
        <f aca="false">IFERROR(AVERAGEIF(C116:I116,"&gt;0"),0)</f>
        <v>0</v>
      </c>
      <c r="S116" s="34" t="n">
        <f aca="false">IFERROR(AVERAGEIF(J116:P116,"&gt;0"),0)</f>
        <v>0</v>
      </c>
      <c r="T116" s="89" t="n">
        <f aca="false">S116-R116</f>
        <v>0</v>
      </c>
      <c r="U116" s="81" t="str">
        <f aca="false">IFERROR(S116/R116,"n/a")</f>
        <v>n/a</v>
      </c>
      <c r="V116" s="69" t="n">
        <f aca="false">IFERROR(S116/$C$3,0)</f>
        <v>0</v>
      </c>
      <c r="W116" s="69" t="n">
        <f aca="false">IFERROR(T116/$D$4,0)</f>
        <v>0</v>
      </c>
      <c r="X116" s="73" t="n">
        <f aca="false">IFERROR((V116+W116)/2,0)</f>
        <v>0</v>
      </c>
      <c r="Y116" s="82"/>
      <c r="Z116" s="40" t="str">
        <f aca="false">IFERROR(POWER(P116/C116,1/13)-1,"n/a")</f>
        <v>n/a</v>
      </c>
      <c r="AA116" s="40" t="str">
        <f aca="false">IFERROR(POWER(P116/J116,1/6)-1,"n/a")</f>
        <v>n/a</v>
      </c>
      <c r="AB116" s="92" t="str">
        <f aca="false">IFERROR(AA116-Z116,"n/a")</f>
        <v>n/a</v>
      </c>
      <c r="AC116" s="90" t="str">
        <f aca="false">IFERROR(SLOPE(C116:P116,{1,2,3,4,5,6,7,8,9,10,11,12,13,14})/AVERAGEIF(C116:P116,"&gt;0"),"n/a")</f>
        <v>n/a</v>
      </c>
      <c r="AD116" s="90" t="str">
        <f aca="false">IFERROR(SLOPE(J116:P116,{1,2,3,4,5,6,7})/AVERAGEIF(J116:P116,"&gt;0"),"n/a")</f>
        <v>n/a</v>
      </c>
      <c r="AE116" s="46" t="str">
        <f aca="false">IFERROR(J116/I116,"n/a")</f>
        <v>n/a</v>
      </c>
      <c r="AF116" s="46" t="str">
        <f aca="false">IFERROR(J116/H116,"n/a")</f>
        <v>n/a</v>
      </c>
      <c r="AG116" s="91" t="s">
        <v>167</v>
      </c>
      <c r="AH116" s="47" t="s">
        <v>359</v>
      </c>
      <c r="AI116" s="60" t="n">
        <v>0.37</v>
      </c>
      <c r="AJ116" s="61" t="s">
        <v>360</v>
      </c>
    </row>
    <row r="117" customFormat="false" ht="16.5" hidden="false" customHeight="true" outlineLevel="0" collapsed="false">
      <c r="A117" s="95" t="s">
        <v>302</v>
      </c>
      <c r="B117" s="96" t="s">
        <v>303</v>
      </c>
      <c r="C117" s="50" t="s">
        <v>89</v>
      </c>
      <c r="D117" s="50" t="s">
        <v>89</v>
      </c>
      <c r="E117" s="50" t="s">
        <v>89</v>
      </c>
      <c r="F117" s="50" t="s">
        <v>89</v>
      </c>
      <c r="G117" s="50" t="s">
        <v>89</v>
      </c>
      <c r="H117" s="50" t="s">
        <v>89</v>
      </c>
      <c r="I117" s="50" t="s">
        <v>89</v>
      </c>
      <c r="J117" s="50" t="s">
        <v>89</v>
      </c>
      <c r="K117" s="50" t="s">
        <v>89</v>
      </c>
      <c r="L117" s="50" t="s">
        <v>89</v>
      </c>
      <c r="M117" s="50" t="s">
        <v>89</v>
      </c>
      <c r="N117" s="50" t="s">
        <v>89</v>
      </c>
      <c r="O117" s="50" t="s">
        <v>89</v>
      </c>
      <c r="P117" s="50" t="s">
        <v>89</v>
      </c>
      <c r="Q117" s="50" t="s">
        <v>89</v>
      </c>
      <c r="R117" s="33" t="n">
        <f aca="false">IFERROR(AVERAGEIF(C117:I117,"&gt;0"),0)</f>
        <v>0</v>
      </c>
      <c r="S117" s="34" t="n">
        <f aca="false">IFERROR(AVERAGEIF(J117:P117,"&gt;0"),0)</f>
        <v>0</v>
      </c>
      <c r="T117" s="89" t="n">
        <f aca="false">S117-R117</f>
        <v>0</v>
      </c>
      <c r="U117" s="81" t="str">
        <f aca="false">IFERROR(S117/R117,"n/a")</f>
        <v>n/a</v>
      </c>
      <c r="V117" s="69" t="n">
        <f aca="false">IFERROR(S117/$C$3,0)</f>
        <v>0</v>
      </c>
      <c r="W117" s="69" t="n">
        <f aca="false">IFERROR(T117/$D$4,0)</f>
        <v>0</v>
      </c>
      <c r="X117" s="73" t="n">
        <f aca="false">IFERROR((V117+W117)/2,0)</f>
        <v>0</v>
      </c>
      <c r="Y117" s="82"/>
      <c r="Z117" s="40" t="str">
        <f aca="false">IFERROR(POWER(P117/C117,1/13)-1,"n/a")</f>
        <v>n/a</v>
      </c>
      <c r="AA117" s="40" t="str">
        <f aca="false">IFERROR(POWER(P117/J117,1/6)-1,"n/a")</f>
        <v>n/a</v>
      </c>
      <c r="AB117" s="92" t="str">
        <f aca="false">IFERROR(AA117-Z117,"n/a")</f>
        <v>n/a</v>
      </c>
      <c r="AC117" s="90" t="str">
        <f aca="false">IFERROR(SLOPE(C117:P117,{1,2,3,4,5,6,7,8,9,10,11,12,13,14})/AVERAGEIF(C117:P117,"&gt;0"),"n/a")</f>
        <v>n/a</v>
      </c>
      <c r="AD117" s="90" t="str">
        <f aca="false">IFERROR(SLOPE(J117:P117,{1,2,3,4,5,6,7})/AVERAGEIF(J117:P117,"&gt;0"),"n/a")</f>
        <v>n/a</v>
      </c>
      <c r="AE117" s="46" t="str">
        <f aca="false">IFERROR(J117/I117,"n/a")</f>
        <v>n/a</v>
      </c>
      <c r="AF117" s="46" t="str">
        <f aca="false">IFERROR(J117/H117,"n/a")</f>
        <v>n/a</v>
      </c>
      <c r="AG117" s="91" t="s">
        <v>167</v>
      </c>
      <c r="AH117" s="47" t="s">
        <v>90</v>
      </c>
      <c r="AI117" s="48" t="n">
        <v>0.025</v>
      </c>
      <c r="AJ117" s="49" t="s">
        <v>91</v>
      </c>
    </row>
    <row r="118" customFormat="false" ht="16.5" hidden="false" customHeight="true" outlineLevel="0" collapsed="false">
      <c r="A118" s="95" t="s">
        <v>308</v>
      </c>
      <c r="B118" s="96" t="s">
        <v>309</v>
      </c>
      <c r="C118" s="50" t="s">
        <v>89</v>
      </c>
      <c r="D118" s="50" t="s">
        <v>89</v>
      </c>
      <c r="E118" s="50" t="s">
        <v>89</v>
      </c>
      <c r="F118" s="50" t="s">
        <v>89</v>
      </c>
      <c r="G118" s="50" t="s">
        <v>89</v>
      </c>
      <c r="H118" s="50" t="s">
        <v>89</v>
      </c>
      <c r="I118" s="50" t="s">
        <v>89</v>
      </c>
      <c r="J118" s="50" t="s">
        <v>89</v>
      </c>
      <c r="K118" s="50" t="s">
        <v>89</v>
      </c>
      <c r="L118" s="50" t="s">
        <v>89</v>
      </c>
      <c r="M118" s="50" t="s">
        <v>89</v>
      </c>
      <c r="N118" s="50" t="s">
        <v>89</v>
      </c>
      <c r="O118" s="50" t="s">
        <v>89</v>
      </c>
      <c r="P118" s="50" t="s">
        <v>89</v>
      </c>
      <c r="Q118" s="50" t="s">
        <v>89</v>
      </c>
      <c r="R118" s="33" t="n">
        <f aca="false">IFERROR(AVERAGEIF(C118:I118,"&gt;0"),0)</f>
        <v>0</v>
      </c>
      <c r="S118" s="34" t="n">
        <f aca="false">IFERROR(AVERAGEIF(J118:P118,"&gt;0"),0)</f>
        <v>0</v>
      </c>
      <c r="T118" s="89" t="n">
        <f aca="false">S118-R118</f>
        <v>0</v>
      </c>
      <c r="U118" s="81" t="str">
        <f aca="false">IFERROR(S118/R118,"n/a")</f>
        <v>n/a</v>
      </c>
      <c r="V118" s="69" t="n">
        <f aca="false">IFERROR(S118/$C$3,0)</f>
        <v>0</v>
      </c>
      <c r="W118" s="69" t="n">
        <f aca="false">IFERROR(T118/$D$4,0)</f>
        <v>0</v>
      </c>
      <c r="X118" s="73" t="n">
        <f aca="false">IFERROR((V118+W118)/2,0)</f>
        <v>0</v>
      </c>
      <c r="Y118" s="82"/>
      <c r="Z118" s="40" t="str">
        <f aca="false">IFERROR(POWER(P118/C118,1/13)-1,"n/a")</f>
        <v>n/a</v>
      </c>
      <c r="AA118" s="40" t="str">
        <f aca="false">IFERROR(POWER(P118/J118,1/6)-1,"n/a")</f>
        <v>n/a</v>
      </c>
      <c r="AB118" s="92" t="str">
        <f aca="false">IFERROR(AA118-Z118,"n/a")</f>
        <v>n/a</v>
      </c>
      <c r="AC118" s="90" t="str">
        <f aca="false">IFERROR(SLOPE(C118:P118,{1,2,3,4,5,6,7,8,9,10,11,12,13,14})/AVERAGEIF(C118:P118,"&gt;0"),"n/a")</f>
        <v>n/a</v>
      </c>
      <c r="AD118" s="90" t="str">
        <f aca="false">IFERROR(SLOPE(J118:P118,{1,2,3,4,5,6,7})/AVERAGEIF(J118:P118,"&gt;0"),"n/a")</f>
        <v>n/a</v>
      </c>
      <c r="AE118" s="46" t="str">
        <f aca="false">IFERROR(J118/I118,"n/a")</f>
        <v>n/a</v>
      </c>
      <c r="AF118" s="46" t="str">
        <f aca="false">IFERROR(J118/H118,"n/a")</f>
        <v>n/a</v>
      </c>
      <c r="AG118" s="91" t="s">
        <v>167</v>
      </c>
      <c r="AH118" s="47" t="s">
        <v>340</v>
      </c>
      <c r="AI118" s="48" t="n">
        <v>0.02</v>
      </c>
      <c r="AJ118" s="49" t="s">
        <v>341</v>
      </c>
    </row>
    <row r="119" customFormat="false" ht="16.5" hidden="false" customHeight="true" outlineLevel="0" collapsed="false">
      <c r="A119" s="95" t="s">
        <v>188</v>
      </c>
      <c r="B119" s="96" t="s">
        <v>189</v>
      </c>
      <c r="C119" s="50" t="s">
        <v>89</v>
      </c>
      <c r="D119" s="50" t="s">
        <v>89</v>
      </c>
      <c r="E119" s="50" t="s">
        <v>89</v>
      </c>
      <c r="F119" s="50" t="s">
        <v>89</v>
      </c>
      <c r="G119" s="50" t="s">
        <v>89</v>
      </c>
      <c r="H119" s="30" t="n">
        <v>180</v>
      </c>
      <c r="I119" s="50" t="s">
        <v>89</v>
      </c>
      <c r="J119" s="50" t="s">
        <v>89</v>
      </c>
      <c r="K119" s="50" t="s">
        <v>89</v>
      </c>
      <c r="L119" s="50" t="s">
        <v>89</v>
      </c>
      <c r="M119" s="50" t="s">
        <v>89</v>
      </c>
      <c r="N119" s="50" t="s">
        <v>89</v>
      </c>
      <c r="O119" s="50" t="s">
        <v>89</v>
      </c>
      <c r="P119" s="50" t="s">
        <v>89</v>
      </c>
      <c r="Q119" s="50" t="s">
        <v>89</v>
      </c>
      <c r="R119" s="33" t="n">
        <f aca="false">IFERROR(AVERAGEIF(C119:I119,"&gt;0"),0)</f>
        <v>180</v>
      </c>
      <c r="S119" s="34" t="n">
        <f aca="false">IFERROR(AVERAGEIF(J119:P119,"&gt;0"),0)</f>
        <v>0</v>
      </c>
      <c r="T119" s="80" t="n">
        <f aca="false">S119-R119</f>
        <v>-180</v>
      </c>
      <c r="U119" s="81" t="n">
        <f aca="false">IFERROR(S119/R119,"n/a")</f>
        <v>0</v>
      </c>
      <c r="V119" s="69" t="n">
        <f aca="false">IFERROR(S119/$C$3,0)</f>
        <v>0</v>
      </c>
      <c r="W119" s="69" t="n">
        <f aca="false">IFERROR(T119/$D$4,0)</f>
        <v>-1.22867879820801E-006</v>
      </c>
      <c r="X119" s="73" t="n">
        <f aca="false">IFERROR((V119+W119)/2,0)</f>
        <v>-6.14339399104003E-007</v>
      </c>
      <c r="Y119" s="82"/>
      <c r="Z119" s="40" t="str">
        <f aca="false">IFERROR(POWER(P119/C119,1/13)-1,"n/a")</f>
        <v>n/a</v>
      </c>
      <c r="AA119" s="40" t="str">
        <f aca="false">IFERROR(POWER(P119/J119,1/6)-1,"n/a")</f>
        <v>n/a</v>
      </c>
      <c r="AB119" s="92" t="str">
        <f aca="false">IFERROR(AA119-Z119,"n/a")</f>
        <v>n/a</v>
      </c>
      <c r="AC119" s="90" t="str">
        <f aca="false">IFERROR(SLOPE(C119:P119,{1,2,3,4,5,6,7,8,9,10,11,12,13,14})/AVERAGEIF(C119:P119,"&gt;0"),"n/a")</f>
        <v>n/a</v>
      </c>
      <c r="AD119" s="90" t="str">
        <f aca="false">IFERROR(SLOPE(J119:P119,{1,2,3,4,5,6,7})/AVERAGEIF(J119:P119,"&gt;0"),"n/a")</f>
        <v>n/a</v>
      </c>
      <c r="AE119" s="46" t="str">
        <f aca="false">IFERROR(J119/I119,"n/a")</f>
        <v>n/a</v>
      </c>
      <c r="AF119" s="46" t="str">
        <f aca="false">IFERROR(J119/H119,"n/a")</f>
        <v>n/a</v>
      </c>
      <c r="AG119" s="91" t="s">
        <v>167</v>
      </c>
      <c r="AH119" s="47" t="s">
        <v>340</v>
      </c>
      <c r="AI119" s="48" t="n">
        <v>0.02</v>
      </c>
      <c r="AJ119" s="49" t="s">
        <v>341</v>
      </c>
    </row>
    <row r="120" customFormat="false" ht="16.5" hidden="false" customHeight="true" outlineLevel="0" collapsed="false">
      <c r="A120" s="95" t="s">
        <v>174</v>
      </c>
      <c r="B120" s="96" t="s">
        <v>175</v>
      </c>
      <c r="C120" s="50" t="s">
        <v>89</v>
      </c>
      <c r="D120" s="50" t="s">
        <v>89</v>
      </c>
      <c r="E120" s="50" t="s">
        <v>89</v>
      </c>
      <c r="F120" s="50" t="s">
        <v>89</v>
      </c>
      <c r="G120" s="50" t="s">
        <v>89</v>
      </c>
      <c r="H120" s="50" t="s">
        <v>89</v>
      </c>
      <c r="I120" s="50" t="s">
        <v>89</v>
      </c>
      <c r="J120" s="50" t="s">
        <v>89</v>
      </c>
      <c r="K120" s="50" t="s">
        <v>89</v>
      </c>
      <c r="L120" s="50" t="s">
        <v>89</v>
      </c>
      <c r="M120" s="50" t="s">
        <v>89</v>
      </c>
      <c r="N120" s="50" t="s">
        <v>89</v>
      </c>
      <c r="O120" s="50" t="s">
        <v>89</v>
      </c>
      <c r="P120" s="50" t="s">
        <v>89</v>
      </c>
      <c r="Q120" s="50" t="s">
        <v>89</v>
      </c>
      <c r="R120" s="33" t="n">
        <f aca="false">IFERROR(AVERAGEIF(C120:I120,"&gt;0"),0)</f>
        <v>0</v>
      </c>
      <c r="S120" s="34" t="n">
        <f aca="false">IFERROR(AVERAGEIF(J120:P120,"&gt;0"),0)</f>
        <v>0</v>
      </c>
      <c r="T120" s="89" t="n">
        <f aca="false">S120-R120</f>
        <v>0</v>
      </c>
      <c r="U120" s="81" t="str">
        <f aca="false">IFERROR(S120/R120,"n/a")</f>
        <v>n/a</v>
      </c>
      <c r="V120" s="69" t="n">
        <f aca="false">IFERROR(S120/$C$3,0)</f>
        <v>0</v>
      </c>
      <c r="W120" s="69" t="n">
        <f aca="false">IFERROR(T120/$D$4,0)</f>
        <v>0</v>
      </c>
      <c r="X120" s="73" t="n">
        <f aca="false">IFERROR((V120+W120)/2,0)</f>
        <v>0</v>
      </c>
      <c r="Y120" s="82"/>
      <c r="Z120" s="40" t="str">
        <f aca="false">IFERROR(POWER(P120/C120,1/13)-1,"n/a")</f>
        <v>n/a</v>
      </c>
      <c r="AA120" s="40" t="str">
        <f aca="false">IFERROR(POWER(P120/J120,1/6)-1,"n/a")</f>
        <v>n/a</v>
      </c>
      <c r="AB120" s="92" t="str">
        <f aca="false">IFERROR(AA120-Z120,"n/a")</f>
        <v>n/a</v>
      </c>
      <c r="AC120" s="90" t="str">
        <f aca="false">IFERROR(SLOPE(C120:P120,{1,2,3,4,5,6,7,8,9,10,11,12,13,14})/AVERAGEIF(C120:P120,"&gt;0"),"n/a")</f>
        <v>n/a</v>
      </c>
      <c r="AD120" s="90" t="str">
        <f aca="false">IFERROR(SLOPE(J120:P120,{1,2,3,4,5,6,7})/AVERAGEIF(J120:P120,"&gt;0"),"n/a")</f>
        <v>n/a</v>
      </c>
      <c r="AE120" s="46" t="str">
        <f aca="false">IFERROR(J120/I120,"n/a")</f>
        <v>n/a</v>
      </c>
      <c r="AF120" s="46" t="str">
        <f aca="false">IFERROR(J120/H120,"n/a")</f>
        <v>n/a</v>
      </c>
      <c r="AG120" s="91" t="s">
        <v>167</v>
      </c>
      <c r="AH120" s="74" t="s">
        <v>116</v>
      </c>
      <c r="AI120" s="75" t="s">
        <v>117</v>
      </c>
      <c r="AJ120" s="75" t="s">
        <v>89</v>
      </c>
    </row>
    <row r="121" customFormat="false" ht="16.5" hidden="false" customHeight="true" outlineLevel="0" collapsed="false">
      <c r="A121" s="95" t="s">
        <v>320</v>
      </c>
      <c r="B121" s="96" t="s">
        <v>321</v>
      </c>
      <c r="C121" s="50" t="s">
        <v>89</v>
      </c>
      <c r="D121" s="50" t="s">
        <v>89</v>
      </c>
      <c r="E121" s="50" t="s">
        <v>89</v>
      </c>
      <c r="F121" s="50" t="s">
        <v>89</v>
      </c>
      <c r="G121" s="50" t="s">
        <v>89</v>
      </c>
      <c r="H121" s="50" t="s">
        <v>89</v>
      </c>
      <c r="I121" s="50" t="s">
        <v>89</v>
      </c>
      <c r="J121" s="50" t="s">
        <v>89</v>
      </c>
      <c r="K121" s="50" t="s">
        <v>89</v>
      </c>
      <c r="L121" s="50" t="s">
        <v>89</v>
      </c>
      <c r="M121" s="50" t="s">
        <v>89</v>
      </c>
      <c r="N121" s="50" t="s">
        <v>89</v>
      </c>
      <c r="O121" s="50" t="s">
        <v>89</v>
      </c>
      <c r="P121" s="50" t="s">
        <v>89</v>
      </c>
      <c r="Q121" s="50" t="s">
        <v>89</v>
      </c>
      <c r="R121" s="33" t="n">
        <f aca="false">IFERROR(AVERAGEIF(C121:I121,"&gt;0"),0)</f>
        <v>0</v>
      </c>
      <c r="S121" s="34" t="n">
        <f aca="false">IFERROR(AVERAGEIF(J121:P121,"&gt;0"),0)</f>
        <v>0</v>
      </c>
      <c r="T121" s="89" t="n">
        <f aca="false">S121-R121</f>
        <v>0</v>
      </c>
      <c r="U121" s="81" t="str">
        <f aca="false">IFERROR(S121/R121,"n/a")</f>
        <v>n/a</v>
      </c>
      <c r="V121" s="69" t="n">
        <f aca="false">IFERROR(S121/$C$3,0)</f>
        <v>0</v>
      </c>
      <c r="W121" s="69" t="n">
        <f aca="false">IFERROR(T121/$D$4,0)</f>
        <v>0</v>
      </c>
      <c r="X121" s="73" t="n">
        <f aca="false">IFERROR((V121+W121)/2,0)</f>
        <v>0</v>
      </c>
      <c r="Y121" s="82"/>
      <c r="Z121" s="40" t="str">
        <f aca="false">IFERROR(POWER(P121/C121,1/13)-1,"n/a")</f>
        <v>n/a</v>
      </c>
      <c r="AA121" s="40" t="str">
        <f aca="false">IFERROR(POWER(P121/J121,1/6)-1,"n/a")</f>
        <v>n/a</v>
      </c>
      <c r="AB121" s="92" t="str">
        <f aca="false">IFERROR(AA121-Z121,"n/a")</f>
        <v>n/a</v>
      </c>
      <c r="AC121" s="90" t="str">
        <f aca="false">IFERROR(SLOPE(C121:P121,{1,2,3,4,5,6,7,8,9,10,11,12,13,14})/AVERAGEIF(C121:P121,"&gt;0"),"n/a")</f>
        <v>n/a</v>
      </c>
      <c r="AD121" s="90" t="str">
        <f aca="false">IFERROR(SLOPE(J121:P121,{1,2,3,4,5,6,7})/AVERAGEIF(J121:P121,"&gt;0"),"n/a")</f>
        <v>n/a</v>
      </c>
      <c r="AE121" s="46" t="str">
        <f aca="false">IFERROR(J121/I121,"n/a")</f>
        <v>n/a</v>
      </c>
      <c r="AF121" s="46" t="str">
        <f aca="false">IFERROR(J121/H121,"n/a")</f>
        <v>n/a</v>
      </c>
      <c r="AG121" s="91" t="s">
        <v>167</v>
      </c>
      <c r="AH121" s="47" t="s">
        <v>90</v>
      </c>
      <c r="AI121" s="48" t="n">
        <v>0.025</v>
      </c>
      <c r="AJ121" s="49" t="s">
        <v>91</v>
      </c>
    </row>
    <row r="122" customFormat="false" ht="16.5" hidden="false" customHeight="true" outlineLevel="0" collapsed="false">
      <c r="A122" s="95" t="s">
        <v>326</v>
      </c>
      <c r="B122" s="96" t="s">
        <v>327</v>
      </c>
      <c r="C122" s="50" t="s">
        <v>89</v>
      </c>
      <c r="D122" s="50" t="s">
        <v>89</v>
      </c>
      <c r="E122" s="50" t="s">
        <v>89</v>
      </c>
      <c r="F122" s="50" t="s">
        <v>89</v>
      </c>
      <c r="G122" s="50" t="s">
        <v>89</v>
      </c>
      <c r="H122" s="50" t="s">
        <v>89</v>
      </c>
      <c r="I122" s="50" t="s">
        <v>89</v>
      </c>
      <c r="J122" s="50" t="s">
        <v>89</v>
      </c>
      <c r="K122" s="50" t="s">
        <v>89</v>
      </c>
      <c r="L122" s="50" t="s">
        <v>89</v>
      </c>
      <c r="M122" s="50" t="s">
        <v>89</v>
      </c>
      <c r="N122" s="50" t="s">
        <v>89</v>
      </c>
      <c r="O122" s="50" t="s">
        <v>89</v>
      </c>
      <c r="P122" s="50" t="s">
        <v>89</v>
      </c>
      <c r="Q122" s="50" t="s">
        <v>89</v>
      </c>
      <c r="R122" s="33" t="n">
        <f aca="false">IFERROR(AVERAGEIF(C122:I122,"&gt;0"),0)</f>
        <v>0</v>
      </c>
      <c r="S122" s="34" t="n">
        <f aca="false">IFERROR(AVERAGEIF(J122:P122,"&gt;0"),0)</f>
        <v>0</v>
      </c>
      <c r="T122" s="89" t="n">
        <f aca="false">S122-R122</f>
        <v>0</v>
      </c>
      <c r="U122" s="81" t="str">
        <f aca="false">IFERROR(S122/R122,"n/a")</f>
        <v>n/a</v>
      </c>
      <c r="V122" s="69" t="n">
        <f aca="false">IFERROR(S122/$C$3,0)</f>
        <v>0</v>
      </c>
      <c r="W122" s="69" t="n">
        <f aca="false">IFERROR(T122/$D$4,0)</f>
        <v>0</v>
      </c>
      <c r="X122" s="73" t="n">
        <f aca="false">IFERROR((V122+W122)/2,0)</f>
        <v>0</v>
      </c>
      <c r="Y122" s="82"/>
      <c r="Z122" s="40" t="str">
        <f aca="false">IFERROR(POWER(P122/C122,1/13)-1,"n/a")</f>
        <v>n/a</v>
      </c>
      <c r="AA122" s="40" t="str">
        <f aca="false">IFERROR(POWER(P122/J122,1/6)-1,"n/a")</f>
        <v>n/a</v>
      </c>
      <c r="AB122" s="92" t="str">
        <f aca="false">IFERROR(AA122-Z122,"n/a")</f>
        <v>n/a</v>
      </c>
      <c r="AC122" s="90" t="str">
        <f aca="false">IFERROR(SLOPE(C122:P122,{1,2,3,4,5,6,7,8,9,10,11,12,13,14})/AVERAGEIF(C122:P122,"&gt;0"),"n/a")</f>
        <v>n/a</v>
      </c>
      <c r="AD122" s="90" t="str">
        <f aca="false">IFERROR(SLOPE(J122:P122,{1,2,3,4,5,6,7})/AVERAGEIF(J122:P122,"&gt;0"),"n/a")</f>
        <v>n/a</v>
      </c>
      <c r="AE122" s="46" t="str">
        <f aca="false">IFERROR(J122/I122,"n/a")</f>
        <v>n/a</v>
      </c>
      <c r="AF122" s="46" t="str">
        <f aca="false">IFERROR(J122/H122,"n/a")</f>
        <v>n/a</v>
      </c>
      <c r="AG122" s="91" t="s">
        <v>167</v>
      </c>
      <c r="AH122" s="74" t="s">
        <v>162</v>
      </c>
      <c r="AI122" s="75" t="s">
        <v>117</v>
      </c>
      <c r="AJ122" s="75" t="s">
        <v>89</v>
      </c>
    </row>
    <row r="124" customFormat="false" ht="18" hidden="false" customHeight="true" outlineLevel="0" collapsed="false">
      <c r="A124" s="98" t="s">
        <v>328</v>
      </c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8"/>
    </row>
  </sheetData>
  <mergeCells count="25">
    <mergeCell ref="A1:AJ1"/>
    <mergeCell ref="A2:AJ2"/>
    <mergeCell ref="A3:B3"/>
    <mergeCell ref="D3:AJ3"/>
    <mergeCell ref="A4:C4"/>
    <mergeCell ref="E4:AJ4"/>
    <mergeCell ref="C5:I5"/>
    <mergeCell ref="J5:P5"/>
    <mergeCell ref="R5:Y5"/>
    <mergeCell ref="Z5:AB5"/>
    <mergeCell ref="AC5:AD5"/>
    <mergeCell ref="AE5:AG5"/>
    <mergeCell ref="AH5:AJ5"/>
    <mergeCell ref="A9:B9"/>
    <mergeCell ref="A11:AJ11"/>
    <mergeCell ref="A12:AJ12"/>
    <mergeCell ref="A15:AJ15"/>
    <mergeCell ref="A16:AJ16"/>
    <mergeCell ref="A27:AJ27"/>
    <mergeCell ref="A28:AJ28"/>
    <mergeCell ref="A56:AJ56"/>
    <mergeCell ref="A57:AJ57"/>
    <mergeCell ref="A112:AJ112"/>
    <mergeCell ref="A113:AJ113"/>
    <mergeCell ref="A124:AJ1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2026-03-18T21:14:47Z</dcterms:created>
  <dc:creator>openpyxl</dc:creator>
  <dc:description/>
  <dc:language>en-US</dc:language>
  <cp:lastModifiedBy/>
  <dcterms:modified xsi:type="dcterms:W3CDTF">2026-03-18T21:14:49Z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