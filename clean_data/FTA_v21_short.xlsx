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" sheetId="1" state="visible" r:id="rId3"/>
    <sheet name="IM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<sst xmlns="http://schemas.openxmlformats.org/spreadsheetml/2006/main" count="1607" uniqueCount="352">
  <si>
    <t xml:space="preserve">EXPORT (Estonia→Japan) | 2014–2018 vs 2019–2022 | Score=(Share_FTA+Share_Δ)÷2 | B≥1M OR score 80–95% | v21</t>
  </si>
  <si>
    <t xml:space="preserve">COMPOSITE SCORE = avg(share_FTA, share_Δ). share_FTA = FTA_mean ÷ C3. share_Δ = abs_change ÷ D4. Group A: cumul score ≤80%. Group B: score 80–95% OR abs_change ≥ 1,000,000 EUR. Spike: YoY 2018→19 ≥2x AND k≤1 AND FTA_mean ≥ 1,000,000 EUR. Tariffs = midpoint of chapter range. 0% both sides confirmed: CN49,CN97,CN98,CN99.</t>
  </si>
  <si>
    <t xml:space="preserve">C3  —  TOTAL FTA_mean (all CN groups):</t>
  </si>
  <si>
    <t xml:space="preserve">  Denominator for Share_FTA = FTA_mean ÷ C3  (share of ALL trade)</t>
  </si>
  <si>
    <t xml:space="preserve">D4  —  TOTAL abs_change (growing groups k&gt;1 only):</t>
  </si>
  <si>
    <t xml:space="preserve">  Denominator for Share_Δ = abs_change ÷ D4  (share of growing trade increment)</t>
  </si>
  <si>
    <t xml:space="preserve">PRE-FTA  2014–2018</t>
  </si>
  <si>
    <t xml:space="preserve">EPA PERIOD  2019–2022</t>
  </si>
  <si>
    <t xml:space="preserve">2023</t>
  </si>
  <si>
    <t xml:space="preserve">VOLUME, SHARES &amp; COMPOSITE SCORE</t>
  </si>
  <si>
    <t xml:space="preserve">CAGR — total vs EPA</t>
  </si>
  <si>
    <t xml:space="preserve">SLOPE (info)</t>
  </si>
  <si>
    <t xml:space="preserve">ACTIVATION &amp; SUSTAINABILITY</t>
  </si>
  <si>
    <t xml:space="preserve">JP TARIFF (on EE exports)</t>
  </si>
  <si>
    <t xml:space="preserve">Pre mean
(EUR)</t>
  </si>
  <si>
    <t xml:space="preserve">FTA mean
(EUR)</t>
  </si>
  <si>
    <t xml:space="preserve">ABS CHANGE
=FTA−Pre
(EUR)</t>
  </si>
  <si>
    <t xml:space="preserve">k ratio</t>
  </si>
  <si>
    <t xml:space="preserve">Share FTA
=FTA_mean
÷ C3</t>
  </si>
  <si>
    <t xml:space="preserve">Share Δ
=abs_change
÷ D4</t>
  </si>
  <si>
    <t xml:space="preserve">SCORE
=(Sh_FTA
+Sh_Δ)÷2</t>
  </si>
  <si>
    <t xml:space="preserve">Cumul
score</t>
  </si>
  <si>
    <t xml:space="preserve">CAGR total
1/8</t>
  </si>
  <si>
    <t xml:space="preserve">CAGR fta
1/3</t>
  </si>
  <si>
    <t xml:space="preserve">EPA accel
=fta−total</t>
  </si>
  <si>
    <t xml:space="preserve">Slope total
(info)</t>
  </si>
  <si>
    <t xml:space="preserve">Slope FTA
(info)</t>
  </si>
  <si>
    <t xml:space="preserve">YoY
2018→2019</t>
  </si>
  <si>
    <t xml:space="preserve">YoY
2017→2019</t>
  </si>
  <si>
    <t xml:space="preserve">Post-2022
vs FTA</t>
  </si>
  <si>
    <t xml:space="preserve">Tariff range → 0% (avg)</t>
  </si>
  <si>
    <t xml:space="preserve">Avg
tariff</t>
  </si>
  <si>
    <t xml:space="preserve">Cut
(pp)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</si>
  <si>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</si>
  <si>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</si>
  <si>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</si>
  <si>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</si>
  <si>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</si>
  <si>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</si>
  <si>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</si>
  <si>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</si>
  <si>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</si>
  <si>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← Excel column letters →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</si>
  <si>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</si>
  <si>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</si>
  <si>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</si>
  <si>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</si>
  <si>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</si>
  <si>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</si>
  <si>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</si>
  <si>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</si>
  <si>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</si>
  <si>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</si>
  <si>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</si>
  <si>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</si>
  <si>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</si>
  <si>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</si>
  <si>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</si>
  <si>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</si>
  <si>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</si>
  <si>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</si>
  <si>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</si>
  <si>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</si>
  <si>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</si>
  <si>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</si>
  <si>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</si>
  <si>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</si>
  <si>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AA</t>
  </si>
  <si>
    <t xml:space="preserve">AB</t>
  </si>
  <si>
    <t xml:space="preserve">AC</t>
  </si>
  <si>
    <t xml:space="preserve">AD</t>
  </si>
  <si>
    <t xml:space="preserve">AE</t>
  </si>
  <si>
    <t xml:space="preserve">  🟢 GROUP A — Core EPA growth  |  Cumulative composite score ≤ 80%  (4 groups)</t>
  </si>
  <si>
    <t xml:space="preserve">  Top groups by composite score = avg(share_FTA, share_Δ). Covers ~80% of cumulative score among growing groups.</t>
  </si>
  <si>
    <t xml:space="preserve">CN44</t>
  </si>
  <si>
    <t xml:space="preserve">WOOD AND ARTICLES OF WOOD; WOOD CHARCOAL</t>
  </si>
  <si>
    <t xml:space="preserve">0–8.0% → 0%  (avg ~4.0%)</t>
  </si>
  <si>
    <t xml:space="preserve">~4.0%</t>
  </si>
  <si>
    <t xml:space="preserve">CN85</t>
  </si>
  <si>
    <t xml:space="preserve">ELECTRICAL MACHINERY AND EQUIPMENT AND PARTS THEREOF; SOUND RE</t>
  </si>
  <si>
    <t xml:space="preserve">0–5.0% → 0%  (avg ~2.5%)</t>
  </si>
  <si>
    <t xml:space="preserve">~2.5%</t>
  </si>
  <si>
    <t xml:space="preserve">CN71</t>
  </si>
  <si>
    <t xml:space="preserve">NATURAL OR CULTURED PEARLS, PRECIOUS OR SEMI-PRECIOUS STONES, </t>
  </si>
  <si>
    <t xml:space="preserve">—</t>
  </si>
  <si>
    <t xml:space="preserve">CN84</t>
  </si>
  <si>
    <t xml:space="preserve">NUCLEAR REACTORS, BOILERS, MACHINERY AND MECHANICAL APPLIANCES</t>
  </si>
  <si>
    <t xml:space="preserve">  🔵 GROUP B — Secondary growth  |  Score 80–95%  OR  abs_change ≥ 1,000,000 EUR  (5 groups)</t>
  </si>
  <si>
    <t xml:space="preserve">  Next tier by score (80–95%), plus any growing group with absolute change ≥ 1M EUR regardless of score position.</t>
  </si>
  <si>
    <t xml:space="preserve">CN08</t>
  </si>
  <si>
    <t xml:space="preserve">EDIBLE FRUIT AND NUTS; PEEL OF CITRUS FRUIT OR MELONS</t>
  </si>
  <si>
    <t xml:space="preserve">0–243.0% → 0%  (avg ~121.5%)</t>
  </si>
  <si>
    <t xml:space="preserve">~121.5%</t>
  </si>
  <si>
    <t xml:space="preserve">CN90</t>
  </si>
  <si>
    <t xml:space="preserve">OPTICAL, PHOTOGRAPHIC, CINEMATOGRAPHIC, MEASURING, CHECKING, P</t>
  </si>
  <si>
    <t xml:space="preserve">CN72</t>
  </si>
  <si>
    <t xml:space="preserve">IRON AND STEEL</t>
  </si>
  <si>
    <t xml:space="preserve">0–7.0% → 0%  (avg ~3.5%)</t>
  </si>
  <si>
    <t xml:space="preserve">~3.5%</t>
  </si>
  <si>
    <t xml:space="preserve">CN28</t>
  </si>
  <si>
    <t xml:space="preserve">INORGANIC CHEMICALS; ORGANIC OR INORGANIC COMPOUNDS OF PRECIOU</t>
  </si>
  <si>
    <t xml:space="preserve">0–6.5% → 0%  (avg ~3.2%)</t>
  </si>
  <si>
    <t xml:space="preserve">~3.2%</t>
  </si>
  <si>
    <t xml:space="preserve">CN94</t>
  </si>
  <si>
    <t xml:space="preserve">FURNITURE; BEDDING, MATTRESSES, MATTRESS SUPPORTS, CUSHIONS AN</t>
  </si>
  <si>
    <t xml:space="preserve">  ⚡ SPIKES — Short-term activation  |  YoY 2018→19 ≥ 2x  |  k ≤ 1  |  FTA mean ≥ 1,000,000 EUR  (2 groups)</t>
  </si>
  <si>
    <t xml:space="preserve">  Strong immediate reaction to EPA in 2019 but average FTA-period level did not exceed pre-EPA baseline. EPA was noticed — no lasting structural change.</t>
  </si>
  <si>
    <t xml:space="preserve">CN81</t>
  </si>
  <si>
    <t xml:space="preserve">OTHER BASE METALS; CERMETS; ARTICLES THEREOF</t>
  </si>
  <si>
    <t xml:space="preserve">CN03</t>
  </si>
  <si>
    <t xml:space="preserve">FISH AND CRUSTACEANS, MOLLUSCS AND OTHER AQUATIC INVERTEBRATES</t>
  </si>
  <si>
    <t xml:space="preserve">0–15.0% → 0%  (avg ~7.5%)</t>
  </si>
  <si>
    <t xml:space="preserve">~7.5%</t>
  </si>
  <si>
    <t xml:space="preserve">  📉 NEGATIVE / FLAT  |  k ≤ 1, no spike signal  (26 groups)</t>
  </si>
  <si>
    <t xml:space="preserve">  Trade declined or stayed flat. No EPA activation detected. Shown for completeness.</t>
  </si>
  <si>
    <t xml:space="preserve">CN27</t>
  </si>
  <si>
    <t xml:space="preserve">MINERAL FUELS, MINERAL OILS AND PRODUCTS OF THEIR DISTILLATION</t>
  </si>
  <si>
    <t xml:space="preserve">CN73</t>
  </si>
  <si>
    <t xml:space="preserve">ARTICLES OF IRON OR STEEL</t>
  </si>
  <si>
    <t xml:space="preserve">CN32</t>
  </si>
  <si>
    <t xml:space="preserve">TANNING OR DYEING EXTRACTS; TANNINS AND THEIR DERIVATIVES; DYE</t>
  </si>
  <si>
    <t xml:space="preserve">0–10.0% → 0%  (avg ~5.0%)</t>
  </si>
  <si>
    <t xml:space="preserve">~5.0%</t>
  </si>
  <si>
    <t xml:space="preserve">CN61</t>
  </si>
  <si>
    <t xml:space="preserve">ARTICLES OF APPAREL AND CLOTHING ACCESSORIES, KNITTED OR CROCH</t>
  </si>
  <si>
    <t xml:space="preserve">0–12.0% → 0%  (avg ~6.0%)</t>
  </si>
  <si>
    <t xml:space="preserve">~6.0%</t>
  </si>
  <si>
    <t xml:space="preserve">CN76</t>
  </si>
  <si>
    <t xml:space="preserve">ALUMINIUM AND ARTICLES THEREOF</t>
  </si>
  <si>
    <t xml:space="preserve">CN38</t>
  </si>
  <si>
    <t xml:space="preserve">MISCELLANEOUS CHEMICAL PRODUCTS</t>
  </si>
  <si>
    <t xml:space="preserve">0–6.0% → 0%  (avg ~3.0%)</t>
  </si>
  <si>
    <t xml:space="preserve">~3.0%</t>
  </si>
  <si>
    <t xml:space="preserve">CN22</t>
  </si>
  <si>
    <t xml:space="preserve">BEVERAGES, SPIRITS AND VINEGAR</t>
  </si>
  <si>
    <t xml:space="preserve">0–50.0% → 0%  (avg ~25.0%)</t>
  </si>
  <si>
    <t xml:space="preserve">~25.0%</t>
  </si>
  <si>
    <t xml:space="preserve">CN49</t>
  </si>
  <si>
    <t xml:space="preserve">PRINTED BOOKS, NEWSPAPERS, PICTURES AND OTHER PRODUCTS OF THE </t>
  </si>
  <si>
    <t xml:space="preserve">0% confirmed both sides</t>
  </si>
  <si>
    <t xml:space="preserve">0%</t>
  </si>
  <si>
    <t xml:space="preserve">CN39</t>
  </si>
  <si>
    <t xml:space="preserve">PLASTICS AND ARTICLES THEREOF</t>
  </si>
  <si>
    <t xml:space="preserve">CN19</t>
  </si>
  <si>
    <t xml:space="preserve">PREPARATIONS OF CEREALS, FLOUR, STARCH OR MILK; PASTRYCOOKS' P</t>
  </si>
  <si>
    <t xml:space="preserve">CN88</t>
  </si>
  <si>
    <t xml:space="preserve">AIRCRAFT, SPACECRAFT, AND PARTS THEREOF</t>
  </si>
  <si>
    <t xml:space="preserve">n/a</t>
  </si>
  <si>
    <t xml:space="preserve">0–3.0% → 0%  (avg ~1.5%)</t>
  </si>
  <si>
    <t xml:space="preserve">~1.5%</t>
  </si>
  <si>
    <t xml:space="preserve">CN48</t>
  </si>
  <si>
    <t xml:space="preserve">PAPER AND PAPERBOARD; ARTICLES OF PAPER PULP, OF PAPER OR OF P</t>
  </si>
  <si>
    <t xml:space="preserve">CN57</t>
  </si>
  <si>
    <t xml:space="preserve">CARPETS AND OTHER TEXTILE FLOOR COVERINGS</t>
  </si>
  <si>
    <t xml:space="preserve">CN65</t>
  </si>
  <si>
    <t xml:space="preserve">HEADGEAR AND PARTS THEREOF</t>
  </si>
  <si>
    <t xml:space="preserve">CN11</t>
  </si>
  <si>
    <t xml:space="preserve">PRODUCTS OF THE MILLING INDUSTRY; MALT; STARCHES; INULIN; WHEA</t>
  </si>
  <si>
    <t xml:space="preserve">CN56</t>
  </si>
  <si>
    <t xml:space="preserve">WADDING, FELT AND NONWOVENS; SPECIAL YARNS; TWINE, CORDAGE, RO</t>
  </si>
  <si>
    <t xml:space="preserve">CN13</t>
  </si>
  <si>
    <t xml:space="preserve">LAC; GUMS, RESINS AND OTHER VEGETABLE SAPS AND EXTRACTS</t>
  </si>
  <si>
    <t xml:space="preserve">CN43</t>
  </si>
  <si>
    <t xml:space="preserve">FURSKINS AND ARTIFICIAL FUR; MANUFACTURES THEREOF</t>
  </si>
  <si>
    <t xml:space="preserve">0–20.0% → 0%  (avg ~10.0%)</t>
  </si>
  <si>
    <t xml:space="preserve">~10.0%</t>
  </si>
  <si>
    <t xml:space="preserve">CN30</t>
  </si>
  <si>
    <t xml:space="preserve">PHARMACEUTICAL PRODUCTS</t>
  </si>
  <si>
    <t xml:space="preserve">CN53</t>
  </si>
  <si>
    <t xml:space="preserve">OTHER VEGETABLE TEXTILE FIBRES; PAPER YARN AND WOVEN FABRICS O</t>
  </si>
  <si>
    <t xml:space="preserve">CN07</t>
  </si>
  <si>
    <t xml:space="preserve">EDIBLE VEGETABLES AND CERTAIN ROOTS AND TUBERS</t>
  </si>
  <si>
    <t xml:space="preserve">0–30.0% → 0%  (avg ~15.0%)</t>
  </si>
  <si>
    <t xml:space="preserve">~15.0%</t>
  </si>
  <si>
    <t xml:space="preserve">CN67</t>
  </si>
  <si>
    <t xml:space="preserve">PREPARED FEATHERS AND DOWN AND ARTICLES MADE OF FEATHERS OR OF</t>
  </si>
  <si>
    <t xml:space="preserve">CN45</t>
  </si>
  <si>
    <t xml:space="preserve">CORK AND ARTICLES OF CORK</t>
  </si>
  <si>
    <t xml:space="preserve">CN55</t>
  </si>
  <si>
    <t xml:space="preserve">MAN-MADE STAPLE FIBRES</t>
  </si>
  <si>
    <t xml:space="preserve">CN06</t>
  </si>
  <si>
    <t xml:space="preserve">LIVE TREES AND OTHER PLANTS; BULBS, ROOTS AND THE LIKE; CUT FL</t>
  </si>
  <si>
    <t xml:space="preserve">CN80</t>
  </si>
  <si>
    <t xml:space="preserve">TIN AND ARTICLES THEREOF</t>
  </si>
  <si>
    <t xml:space="preserve">  ⚪ TAIL — Growing but minor  |  score &gt; 95%  AND  abs_change &lt; 1,000,000 EUR  (37 groups)</t>
  </si>
  <si>
    <t xml:space="preserve">  Growing groups below both thresholds. Not in primary analysis.</t>
  </si>
  <si>
    <t xml:space="preserve">CN95</t>
  </si>
  <si>
    <t xml:space="preserve">TOYS, GAMES AND SPORTS REQUISITES; PARTS AND ACCESSORIES THERE</t>
  </si>
  <si>
    <t xml:space="preserve">CN04</t>
  </si>
  <si>
    <t xml:space="preserve">DAIRY PRODUCE; BIRDS' EGGS; NATURAL HONEY; EDIBLE PRODUCTS OF </t>
  </si>
  <si>
    <t xml:space="preserve">0–400.0% → 0%  (avg ~200.0%)</t>
  </si>
  <si>
    <t xml:space="preserve">~200.0%</t>
  </si>
  <si>
    <t xml:space="preserve">CN20</t>
  </si>
  <si>
    <t xml:space="preserve">PREPARATIONS OF VEGETABLES, FRUIT, NUTS OR OTHER PARTS OF PLAN</t>
  </si>
  <si>
    <t xml:space="preserve">CN29</t>
  </si>
  <si>
    <t xml:space="preserve">ORGANIC CHEMICALS</t>
  </si>
  <si>
    <t xml:space="preserve">CN21</t>
  </si>
  <si>
    <t xml:space="preserve">MISCELLANEOUS EDIBLE PREPARATIONS</t>
  </si>
  <si>
    <t xml:space="preserve">CN35</t>
  </si>
  <si>
    <t xml:space="preserve">ALBUMINOIDAL SUBSTANCES; MODIFIED STARCHES; GLUES; ENZYMES</t>
  </si>
  <si>
    <t xml:space="preserve">CN89</t>
  </si>
  <si>
    <t xml:space="preserve">SHIPS, BOATS AND FLOATING STRUCTURES</t>
  </si>
  <si>
    <t xml:space="preserve">CN16</t>
  </si>
  <si>
    <t xml:space="preserve">PREPARATIONS OF MEAT, OF FISH, OF CRUSTACEANS, MOLLUSCS OR OTH</t>
  </si>
  <si>
    <t xml:space="preserve">CN91</t>
  </si>
  <si>
    <t xml:space="preserve">CLOCKS AND WATCHES AND PARTS THEREOF</t>
  </si>
  <si>
    <t xml:space="preserve">CN18</t>
  </si>
  <si>
    <t xml:space="preserve">COCOA AND COCOA PREPARATIONS</t>
  </si>
  <si>
    <t xml:space="preserve">CN12</t>
  </si>
  <si>
    <t xml:space="preserve">OIL SEEDS AND OLEAGINOUS FRUITS; MISCELLANEOUS GRAINS, SEEDS A</t>
  </si>
  <si>
    <t xml:space="preserve">CN69</t>
  </si>
  <si>
    <t xml:space="preserve">CERAMIC PRODUCTS</t>
  </si>
  <si>
    <t xml:space="preserve">CN63</t>
  </si>
  <si>
    <t xml:space="preserve">OTHER MADE-UP TEXTILE ARTICLES; SETS; WORN CLOTHING AND WORN T</t>
  </si>
  <si>
    <t xml:space="preserve">CN62</t>
  </si>
  <si>
    <t xml:space="preserve">ARTICLES OF APPAREL AND CLOTHING ACCESSORIES, NOT KNITTED OR C</t>
  </si>
  <si>
    <t xml:space="preserve">CN99</t>
  </si>
  <si>
    <t xml:space="preserve">OTHER GOODS NOT ELSEWHERE CLASSIFIED</t>
  </si>
  <si>
    <t xml:space="preserve">CN33</t>
  </si>
  <si>
    <t xml:space="preserve">ESSENTIAL OILS AND RESINOIDS; PERFUMERY, COSMETIC OR TOILET PR</t>
  </si>
  <si>
    <t xml:space="preserve">CN74</t>
  </si>
  <si>
    <t xml:space="preserve">COPPER AND ARTICLES THEREOF</t>
  </si>
  <si>
    <t xml:space="preserve">CN17</t>
  </si>
  <si>
    <t xml:space="preserve">SUGARS AND SUGAR CONFECTIONERY</t>
  </si>
  <si>
    <t xml:space="preserve">0–100.0% → 0%  (avg ~50.0%)</t>
  </si>
  <si>
    <t xml:space="preserve">~50.0%</t>
  </si>
  <si>
    <t xml:space="preserve">CN42</t>
  </si>
  <si>
    <t xml:space="preserve">ARTICLES OF LEATHER; SADDLERY AND HARNESS; TRAVEL GOODS, HANDB</t>
  </si>
  <si>
    <t xml:space="preserve">CN92</t>
  </si>
  <si>
    <t xml:space="preserve">MUSICAL INSTRUMENTS; PARTS AND ACCESSORIES OF SUCH ARTICLES</t>
  </si>
  <si>
    <t xml:space="preserve">CN70</t>
  </si>
  <si>
    <t xml:space="preserve">GLASS AND GLASSWARE</t>
  </si>
  <si>
    <t xml:space="preserve">CN96</t>
  </si>
  <si>
    <t xml:space="preserve">MISCELLANEOUS MANUFACTURED ARTICLES</t>
  </si>
  <si>
    <t xml:space="preserve">CN34</t>
  </si>
  <si>
    <t xml:space="preserve">SOAP, ORGANIC SURFACE-ACTIVE AGENTS, WASHING PREPARATIONS, LUB</t>
  </si>
  <si>
    <t xml:space="preserve">CN83</t>
  </si>
  <si>
    <t xml:space="preserve">MISCELLANEOUS ARTICLES OF BASE METAL</t>
  </si>
  <si>
    <t xml:space="preserve">CN64</t>
  </si>
  <si>
    <t xml:space="preserve">FOOTWEAR, GAITERS AND THE LIKE; PARTS OF SUCH ARTICLES</t>
  </si>
  <si>
    <t xml:space="preserve">CN40</t>
  </si>
  <si>
    <t xml:space="preserve">RUBBER AND ARTICLES THEREOF</t>
  </si>
  <si>
    <t xml:space="preserve">CN87</t>
  </si>
  <si>
    <t xml:space="preserve">VEHICLES OTHER THAN RAILWAY OR TRAMWAY ROLLING STOCK, AND PART</t>
  </si>
  <si>
    <t xml:space="preserve">0% all subheadings</t>
  </si>
  <si>
    <t xml:space="preserve">CN68</t>
  </si>
  <si>
    <t xml:space="preserve">ARTICLES OF STONE, PLASTER, CEMENT, ASBESTOS, MICA OR SIMILAR </t>
  </si>
  <si>
    <t xml:space="preserve">CN46</t>
  </si>
  <si>
    <t xml:space="preserve">MANUFACTURES OF STRAW, OF ESPARTO OR OF OTHER PLAITING MATERIA</t>
  </si>
  <si>
    <t xml:space="preserve">CN82</t>
  </si>
  <si>
    <t xml:space="preserve">TOOLS, IMPLEMENTS, CUTLERY, SPOONS AND FORKS, OF BASE METAL; P</t>
  </si>
  <si>
    <t xml:space="preserve">CN93</t>
  </si>
  <si>
    <t xml:space="preserve">ARMS AND AMMUNITION; PARTS AND ACCESSORIES THEREOF</t>
  </si>
  <si>
    <t xml:space="preserve">CN97</t>
  </si>
  <si>
    <t xml:space="preserve">WORKS OF ART, COLLECTORS' PIECES AND ANTIQUES</t>
  </si>
  <si>
    <t xml:space="preserve">CN60</t>
  </si>
  <si>
    <t xml:space="preserve">KNITTED OR CROCHETED FABRICS</t>
  </si>
  <si>
    <t xml:space="preserve">CN37</t>
  </si>
  <si>
    <t xml:space="preserve">PHOTOGRAPHIC OR CINEMATOGRAPHIC GOODS</t>
  </si>
  <si>
    <t xml:space="preserve">CN52</t>
  </si>
  <si>
    <t xml:space="preserve">COTTON</t>
  </si>
  <si>
    <t xml:space="preserve">CN25</t>
  </si>
  <si>
    <t xml:space="preserve">SALT; SULPHUR; EARTHS AND STONE; PLASTERING MATERIALS, LIME AN</t>
  </si>
  <si>
    <t xml:space="preserve">CN58</t>
  </si>
  <si>
    <t xml:space="preserve">SPECIAL WOVEN FABRICS; TUFTED TEXTILE FABRICS; LACE; TAPESTRIE</t>
  </si>
  <si>
    <t xml:space="preserve">  — NO TRADE in EPA period  (24 groups)</t>
  </si>
  <si>
    <t xml:space="preserve">  Zero or suppressed values throughout EPA period.</t>
  </si>
  <si>
    <t xml:space="preserve">CN01</t>
  </si>
  <si>
    <t xml:space="preserve">LIVE ANIMALS</t>
  </si>
  <si>
    <t xml:space="preserve">0–38.5% → 0%  (avg ~19.2%)</t>
  </si>
  <si>
    <t xml:space="preserve">~19.2%</t>
  </si>
  <si>
    <t xml:space="preserve">CN02</t>
  </si>
  <si>
    <t xml:space="preserve">MEAT AND EDIBLE MEAT OFFAL</t>
  </si>
  <si>
    <t xml:space="preserve">CN05</t>
  </si>
  <si>
    <t xml:space="preserve">PRODUCTS OF ANIMAL ORIGIN, NOT ELSEWHERE SPECIFIED OR INCLUDED</t>
  </si>
  <si>
    <t xml:space="preserve">CN09</t>
  </si>
  <si>
    <t xml:space="preserve">COFFEE, TEA, MATÉ AND SPICES</t>
  </si>
  <si>
    <t xml:space="preserve">CN10</t>
  </si>
  <si>
    <t xml:space="preserve">CEREALS</t>
  </si>
  <si>
    <t xml:space="preserve">0–778.0% → 0%  (avg ~389.0%)</t>
  </si>
  <si>
    <t xml:space="preserve">~389.0%</t>
  </si>
  <si>
    <t xml:space="preserve">CN14</t>
  </si>
  <si>
    <t xml:space="preserve">VEGETABLE PLAITING MATERIALS; VEGETABLE PRODUCTS NOT ELSEWHERE</t>
  </si>
  <si>
    <t xml:space="preserve">CN15</t>
  </si>
  <si>
    <t xml:space="preserve">ANIMAL, VEGETABLE OR MICROBIAL FATS AND OILS AND THEIR CLEAVAG</t>
  </si>
  <si>
    <t xml:space="preserve">CN23</t>
  </si>
  <si>
    <t xml:space="preserve">RESIDUES AND WASTE FROM THE FOOD INDUSTRIES; PREPARED ANIMAL F</t>
  </si>
  <si>
    <t xml:space="preserve">CN24</t>
  </si>
  <si>
    <t xml:space="preserve">TOBACCO AND MANUFACTURED TOBACCO SUBSTITUTES; PRODUCTS, WHETHE</t>
  </si>
  <si>
    <t xml:space="preserve">CN26</t>
  </si>
  <si>
    <t xml:space="preserve">ORES, SLAG AND ASH</t>
  </si>
  <si>
    <t xml:space="preserve">CN31</t>
  </si>
  <si>
    <t xml:space="preserve">FERTILISERS</t>
  </si>
  <si>
    <t xml:space="preserve">CN36</t>
  </si>
  <si>
    <t xml:space="preserve">EXPLOSIVES; PYROTECHNIC PRODUCTS; MATCHES; PYROPHORIC ALLOYS; </t>
  </si>
  <si>
    <t xml:space="preserve">CN41</t>
  </si>
  <si>
    <t xml:space="preserve">RAW HIDES AND SKINS (OTHER THAN FURSKINS) AND LEATHER</t>
  </si>
  <si>
    <t xml:space="preserve">CN47</t>
  </si>
  <si>
    <t xml:space="preserve">PULP OF WOOD OR OF OTHER FIBROUS CELLULOSIC MATERIAL; RECOVERE</t>
  </si>
  <si>
    <t xml:space="preserve">CN50</t>
  </si>
  <si>
    <t xml:space="preserve">SILK</t>
  </si>
  <si>
    <t xml:space="preserve">CN51</t>
  </si>
  <si>
    <t xml:space="preserve">WOOL, FINE OR COARSE ANIMAL HAIR; HORSEHAIR YARN AND WOVEN FAB</t>
  </si>
  <si>
    <t xml:space="preserve">CN54</t>
  </si>
  <si>
    <t xml:space="preserve">MAN-MADE FILAMENTS; STRIP AND THE LIKE OF MAN-MADE TEXTILE MAT</t>
  </si>
  <si>
    <t xml:space="preserve">CN59</t>
  </si>
  <si>
    <t xml:space="preserve">IMPREGNATED, COATED, COVERED OR LAMINATED TEXTILE FABRICS; TEX</t>
  </si>
  <si>
    <t xml:space="preserve">CN66</t>
  </si>
  <si>
    <t xml:space="preserve">UMBRELLAS, SUN UMBRELLAS, WALKING STICKS, SEAT-STICKS, WHIPS, </t>
  </si>
  <si>
    <t xml:space="preserve">CN75</t>
  </si>
  <si>
    <t xml:space="preserve">NICKEL AND ARTICLES THEREOF</t>
  </si>
  <si>
    <t xml:space="preserve">CN78</t>
  </si>
  <si>
    <t xml:space="preserve">LEAD AND ARTICLES THEREOF</t>
  </si>
  <si>
    <t xml:space="preserve">CN79</t>
  </si>
  <si>
    <t xml:space="preserve">ZINC AND ARTICLES THEREOF</t>
  </si>
  <si>
    <t xml:space="preserve">CN86</t>
  </si>
  <si>
    <t xml:space="preserve">RAILWAY OR TRAMWAY LOCOMOTIVES, ROLLING STOCK AND PARTS THEREO</t>
  </si>
  <si>
    <t xml:space="preserve">CN98</t>
  </si>
  <si>
    <t xml:space="preserve">COMPLETE INDUSTRIAL PLANT</t>
  </si>
  <si>
    <t xml:space="preserve">  C3=total FTA_mean all groups. D4=sum abs_change growing only. Score=(FTA_mean÷C3 + abs_change÷D4)÷2. A:≤80%. B:80–95% OR abs≥1,000,000EUR. Spike:YoY≥2x AND k≤1 AND fta_mean≥1,000,000EUR. Periods:2014–2018 vs 2019–2022.</t>
  </si>
  <si>
    <t xml:space="preserve">IMPORT (Japan→Estonia) | 2014–2018 vs 2019–2022 | Score=(Share_FTA+Share_Δ)÷2 | B≥1M OR score 80–95% | v21</t>
  </si>
  <si>
    <t xml:space="preserve">EU TARIFF (on JP imports)</t>
  </si>
  <si>
    <t xml:space="preserve">  🟢 GROUP A — Core EPA growth  |  Cumulative composite score ≤ 80%  (2 groups)</t>
  </si>
  <si>
    <t xml:space="preserve">6–22.0% → 0%  (avg ~14.0%)</t>
  </si>
  <si>
    <t xml:space="preserve">~14.0%</t>
  </si>
  <si>
    <t xml:space="preserve">0–14.0% → 0%  (avg ~7.0%)</t>
  </si>
  <si>
    <t xml:space="preserve">~7.0%</t>
  </si>
  <si>
    <t xml:space="preserve">  🔵 GROUP B — Secondary growth  |  Score 80–95%  OR  abs_change ≥ 1,000,000 EUR  (6 groups)</t>
  </si>
  <si>
    <t xml:space="preserve">0–4.7% → 0%  (avg ~2.4%)</t>
  </si>
  <si>
    <t xml:space="preserve">~2.4%</t>
  </si>
  <si>
    <t xml:space="preserve">  📉 NEGATIVE / FLAT  |  k ≤ 1, no spike signal  (39 groups)</t>
  </si>
  <si>
    <t xml:space="preserve">0–7.7% → 0%  (avg ~3.9%)</t>
  </si>
  <si>
    <t xml:space="preserve">~3.9%</t>
  </si>
  <si>
    <t xml:space="preserve">0–4.0% → 0%  (avg ~2.0%)</t>
  </si>
  <si>
    <t xml:space="preserve">~2.0%</t>
  </si>
  <si>
    <t xml:space="preserve">8–12.0% → 0%  (avg ~10.0%)</t>
  </si>
  <si>
    <t xml:space="preserve">0–7.5% → 0%  (avg ~3.8%)</t>
  </si>
  <si>
    <t xml:space="preserve">~3.8%</t>
  </si>
  <si>
    <t xml:space="preserve">0–3.2% → 0%  (avg ~1.6%)</t>
  </si>
  <si>
    <t xml:space="preserve">~1.6%</t>
  </si>
  <si>
    <t xml:space="preserve">0–5.5% → 0%  (avg ~2.8%)</t>
  </si>
  <si>
    <t xml:space="preserve">~2.8%</t>
  </si>
  <si>
    <t xml:space="preserve">3–17.0% → 0%  (avg ~10.0%)</t>
  </si>
  <si>
    <t xml:space="preserve">3–4.7% → 0%  (avg ~3.7%)</t>
  </si>
  <si>
    <t xml:space="preserve">~3.7%</t>
  </si>
  <si>
    <t xml:space="preserve">  ⚪ TAIL — Growing but minor  |  score &gt; 95%  AND  abs_change &lt; 1,000,000 EUR  (42 groups)</t>
  </si>
  <si>
    <t xml:space="preserve">0–5.6% → 0%  (avg ~2.8%)</t>
  </si>
  <si>
    <t xml:space="preserve">0–4.5% → 0%  (avg ~2.2%)</t>
  </si>
  <si>
    <t xml:space="preserve">~2.2%</t>
  </si>
  <si>
    <t xml:space="preserve">  — NO TRADE in EPA period  (9 groups)</t>
  </si>
  <si>
    <t xml:space="preserve">0–74.0% → 0%  (avg ~37.0%)</t>
  </si>
  <si>
    <t xml:space="preserve">~37.0%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</si>
</sst>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\x"/>
    <numFmt numFmtId="167" formatCode="0.00%"/>
    <numFmt numFmtId="168" formatCode="0.0%"/>
    <numFmt numFmtId="169" formatCode="0%"/>
    <numFmt numFmtId="170" formatCode="0.0\x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8"/>
      <color rgb="FF7B3F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1A5E1A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7"/>
      <color rgb="FF1F3864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80"/>
      <name val="Arial"/>
      <family val="0"/>
      <charset val="1"/>
    </font>
    <font>
      <sz val="9"/>
      <color rgb="FF00008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2CC"/>
        <bgColor rgb="FFFFF3E0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E8F5E9"/>
      </patternFill>
    </fill>
    <fill>
      <patternFill patternType="solid">
        <fgColor rgb="FFD9E2F3"/>
        <bgColor rgb="FFE3F2FD"/>
      </patternFill>
    </fill>
    <fill>
      <patternFill patternType="solid">
        <fgColor rgb="FF4472C4"/>
        <bgColor rgb="FF0066CC"/>
      </patternFill>
    </fill>
    <fill>
      <patternFill patternType="solid">
        <fgColor rgb="FFE95F00"/>
        <bgColor rgb="FFFF9900"/>
      </patternFill>
    </fill>
    <fill>
      <patternFill patternType="solid">
        <fgColor rgb="FFC00000"/>
        <bgColor rgb="FF9C0006"/>
      </patternFill>
    </fill>
    <fill>
      <patternFill patternType="solid">
        <fgColor rgb="FFF2F2F2"/>
        <bgColor rgb="FFF5F5F5"/>
      </patternFill>
    </fill>
    <fill>
      <patternFill patternType="solid">
        <fgColor rgb="FF1A5E1A"/>
        <bgColor rgb="FF375623"/>
      </patternFill>
    </fill>
    <fill>
      <patternFill patternType="solid">
        <fgColor rgb="FFE8F5E9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FD0D0"/>
      </patternFill>
    </fill>
    <fill>
      <patternFill patternType="solid">
        <fgColor rgb="FFFFE0C8"/>
        <bgColor rgb="FFFFE8E8"/>
      </patternFill>
    </fill>
    <fill>
      <patternFill patternType="solid">
        <fgColor rgb="FFFFE8E8"/>
        <bgColor rgb="FFFFF3E0"/>
      </patternFill>
    </fill>
    <fill>
      <patternFill patternType="solid">
        <fgColor rgb="FF1F4E79"/>
        <bgColor rgb="FF1F3864"/>
      </patternFill>
    </fill>
    <fill>
      <patternFill patternType="solid">
        <fgColor rgb="FFE3F2FD"/>
        <bgColor rgb="FFE8F5E9"/>
      </patternFill>
    </fill>
    <fill>
      <patternFill patternType="solid">
        <fgColor rgb="FFFFD0D0"/>
        <bgColor rgb="FFFFC7CE"/>
      </patternFill>
    </fill>
    <fill>
      <patternFill patternType="solid">
        <fgColor rgb="FF92D050"/>
        <bgColor rgb="FFBFBFBF"/>
      </patternFill>
    </fill>
    <fill>
      <patternFill patternType="solid">
        <fgColor rgb="FFFFF3E0"/>
        <bgColor rgb="FFFFF2CC"/>
      </patternFill>
    </fill>
    <fill>
      <patternFill patternType="solid">
        <fgColor rgb="FF595959"/>
        <bgColor rgb="FF375623"/>
      </patternFill>
    </fill>
    <fill>
      <patternFill patternType="solid">
        <fgColor rgb="FFF5F5F5"/>
        <bgColor rgb="FFF2F2F2"/>
      </patternFill>
    </fill>
    <fill>
      <patternFill patternType="solid">
        <fgColor rgb="FF7F7F7F"/>
        <bgColor rgb="FF595959"/>
      </patternFill>
    </fill>
    <fill>
      <patternFill patternType="solid">
        <fgColor rgb="FFFAFAFA"/>
        <bgColor rgb="FFFFFFFF"/>
      </patternFill>
    </fill>
    <fill>
      <patternFill patternType="solid">
        <fgColor rgb="FFBFBFBF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9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2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6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2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3E0"/>
      <rgbColor rgb="FFFF00FF"/>
      <rgbColor rgb="FF00FFFF"/>
      <rgbColor rgb="FF9C0006"/>
      <rgbColor rgb="FF1A5E1A"/>
      <rgbColor rgb="FF000080"/>
      <rgbColor rgb="FF808000"/>
      <rgbColor rgb="FF800080"/>
      <rgbColor rgb="FF008080"/>
      <rgbColor rgb="FFBFBFBF"/>
      <rgbColor rgb="FF7F7F7F"/>
      <rgbColor rgb="FFF2F2F2"/>
      <rgbColor rgb="FF993366"/>
      <rgbColor rgb="FFFFF2CC"/>
      <rgbColor rgb="FFE3F2FD"/>
      <rgbColor rgb="FF660066"/>
      <rgbColor rgb="FFFAFAFA"/>
      <rgbColor rgb="FF0066CC"/>
      <rgbColor rgb="FFCCCCCC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5E9"/>
      <rgbColor rgb="FFC6EFCE"/>
      <rgbColor rgb="FFFFEB9C"/>
      <rgbColor rgb="FFD9E2F3"/>
      <rgbColor rgb="FFFFD0D0"/>
      <rgbColor rgb="FFFFE0C8"/>
      <rgbColor rgb="FFFFC7CE"/>
      <rgbColor rgb="FF4472C4"/>
      <rgbColor rgb="FF33CCCC"/>
      <rgbColor rgb="FF92D050"/>
      <rgbColor rgb="FFFFE8E8"/>
      <rgbColor rgb="FFFF9900"/>
      <rgbColor rgb="FFE95F00"/>
      <rgbColor rgb="FF595959"/>
      <rgbColor rgb="FFF5F5F5"/>
      <rgbColor rgb="FF1F3864"/>
      <rgbColor rgb="FF00B050"/>
      <rgbColor rgb="FF003300"/>
      <rgbColor rgb="FF333300"/>
      <rgbColor rgb="FF7B3F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12" min="3" style="0" width="9"/>
    <col collapsed="false" customWidth="true" hidden="false" outlineLevel="0" max="14" min="13" style="0" width="13"/>
    <col collapsed="false" customWidth="true" hidden="false" outlineLevel="0" max="15" min="15" style="0" width="14"/>
    <col collapsed="false" customWidth="true" hidden="false" outlineLevel="0" max="16" min="16" style="0" width="9"/>
    <col collapsed="false" customWidth="true" hidden="false" outlineLevel="0" max="22" min="17" style="0" width="10"/>
    <col collapsed="false" customWidth="true" hidden="false" outlineLevel="0" max="23" min="23" style="0" width="11"/>
    <col collapsed="false" customWidth="true" hidden="false" outlineLevel="0" max="28" min="24" style="0" width="9"/>
    <col collapsed="false" customWidth="true" hidden="false" outlineLevel="0" max="29" min="29" style="0" width="24"/>
    <col collapsed="false" customWidth="true" hidden="false" outlineLevel="0" max="31" min="30" style="0" width="9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18" hidden="false" customHeight="true" outlineLevel="0" collapsed="false">
      <c r="A3" s="3" t="s">
        <v>2</v>
      </c>
      <c r="B3" s="3"/>
      <c r="C3" s="4" t="n">
        <v>110592001.833333</v>
      </c>
      <c r="D3" s="5" t="s">
        <v>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customFormat="false" ht="18" hidden="false" customHeight="true" outlineLevel="0" collapsed="false">
      <c r="A4" s="3" t="s">
        <v>4</v>
      </c>
      <c r="B4" s="3"/>
      <c r="C4" s="3"/>
      <c r="D4" s="6" t="n">
        <v>43970469.3333333</v>
      </c>
      <c r="E4" s="5" t="s">
        <v>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customFormat="false" ht="24" hidden="false" customHeight="true" outlineLevel="0" collapsed="false">
      <c r="C5" s="7" t="s">
        <v>6</v>
      </c>
      <c r="D5" s="7"/>
      <c r="E5" s="7"/>
      <c r="F5" s="7"/>
      <c r="G5" s="7"/>
      <c r="H5" s="8" t="s">
        <v>7</v>
      </c>
      <c r="I5" s="8"/>
      <c r="J5" s="8"/>
      <c r="K5" s="8"/>
      <c r="L5" s="9" t="s">
        <v>8</v>
      </c>
      <c r="M5" s="10" t="s">
        <v>9</v>
      </c>
      <c r="N5" s="10"/>
      <c r="O5" s="10"/>
      <c r="P5" s="10"/>
      <c r="Q5" s="10"/>
      <c r="R5" s="10"/>
      <c r="S5" s="10"/>
      <c r="T5" s="10"/>
      <c r="U5" s="10" t="s">
        <v>10</v>
      </c>
      <c r="V5" s="10"/>
      <c r="W5" s="10"/>
      <c r="X5" s="10" t="s">
        <v>11</v>
      </c>
      <c r="Y5" s="10"/>
      <c r="Z5" s="11" t="s">
        <v>12</v>
      </c>
      <c r="AA5" s="11"/>
      <c r="AB5" s="11"/>
      <c r="AC5" s="12" t="s">
        <v>13</v>
      </c>
      <c r="AD5" s="12"/>
      <c r="AE5" s="12"/>
    </row>
    <row r="6" customFormat="false" ht="43.5" hidden="false" customHeight="true" outlineLevel="0" collapsed="false">
      <c r="A6" s="13"/>
      <c r="B6" s="13"/>
      <c r="C6" s="14"/>
      <c r="D6" s="14"/>
      <c r="E6" s="14"/>
      <c r="F6" s="14"/>
      <c r="G6" s="14"/>
      <c r="H6" s="15"/>
      <c r="I6" s="15"/>
      <c r="J6" s="15"/>
      <c r="K6" s="15"/>
      <c r="L6" s="16"/>
      <c r="M6" s="17" t="s">
        <v>14</v>
      </c>
      <c r="N6" s="17" t="s">
        <v>15</v>
      </c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27</v>
      </c>
      <c r="AA6" s="18" t="s">
        <v>28</v>
      </c>
      <c r="AB6" s="18" t="s">
        <v>29</v>
      </c>
      <c r="AC6" s="19" t="s">
        <v>30</v>
      </c>
      <c r="AD6" s="19" t="s">
        <v>31</v>
      </c>
      <c r="AE6" s="19" t="s">
        <v>32</v>
      </c>
    </row>
    <row r="7" customFormat="false" ht="15" hidden="false" customHeight="true" outlineLevel="0" collapsed="false">
      <c r="A7" s="20"/>
      <c r="B7" s="20"/>
      <c r="C7" s="21" t="s">
        <v>33</v>
      </c>
      <c r="D7" s="21" t="s">
        <v>34</v>
      </c>
      <c r="E7" s="21" t="s">
        <v>35</v>
      </c>
      <c r="F7" s="21" t="s">
        <v>36</v>
      </c>
      <c r="G7" s="21" t="s">
        <v>37</v>
      </c>
      <c r="H7" s="22" t="s">
        <v>38</v>
      </c>
      <c r="I7" s="22" t="s">
        <v>39</v>
      </c>
      <c r="J7" s="22" t="s">
        <v>40</v>
      </c>
      <c r="K7" s="22" t="s">
        <v>41</v>
      </c>
      <c r="L7" s="23" t="s">
        <v>8</v>
      </c>
    </row>
    <row r="8" customFormat="false" ht="3.75" hidden="false" customHeight="true" outlineLevel="0" collapsed="false"/>
    <row r="9" customFormat="false" ht="12.75" hidden="false" customHeight="true" outlineLevel="0" collapsed="false">
      <c r="A9" s="24" t="s">
        <v>42</v>
      </c>
      <c r="B9" s="24"/>
      <c r="C9" s="25" t="s">
        <v>43</v>
      </c>
      <c r="D9" s="25" t="s">
        <v>44</v>
      </c>
      <c r="E9" s="25" t="s">
        <v>45</v>
      </c>
      <c r="F9" s="25" t="s">
        <v>46</v>
      </c>
      <c r="G9" s="25" t="s">
        <v>47</v>
      </c>
      <c r="H9" s="25" t="s">
        <v>48</v>
      </c>
      <c r="I9" s="25" t="s">
        <v>49</v>
      </c>
      <c r="J9" s="25" t="s">
        <v>50</v>
      </c>
      <c r="K9" s="25" t="s">
        <v>51</v>
      </c>
      <c r="L9" s="25" t="s">
        <v>52</v>
      </c>
      <c r="M9" s="25" t="s">
        <v>53</v>
      </c>
      <c r="N9" s="25" t="s">
        <v>54</v>
      </c>
      <c r="O9" s="25" t="s">
        <v>55</v>
      </c>
      <c r="P9" s="25" t="s">
        <v>56</v>
      </c>
      <c r="Q9" s="25" t="s">
        <v>57</v>
      </c>
      <c r="R9" s="25" t="s">
        <v>58</v>
      </c>
      <c r="S9" s="25" t="s">
        <v>59</v>
      </c>
      <c r="T9" s="25" t="s">
        <v>60</v>
      </c>
      <c r="U9" s="25" t="s">
        <v>61</v>
      </c>
      <c r="V9" s="25" t="s">
        <v>62</v>
      </c>
      <c r="W9" s="25" t="s">
        <v>63</v>
      </c>
      <c r="X9" s="25" t="s">
        <v>64</v>
      </c>
      <c r="Y9" s="25" t="s">
        <v>65</v>
      </c>
      <c r="Z9" s="25" t="s">
        <v>66</v>
      </c>
      <c r="AA9" s="25" t="s">
        <v>67</v>
      </c>
      <c r="AB9" s="25" t="s">
        <v>68</v>
      </c>
      <c r="AC9" s="25" t="s">
        <v>69</v>
      </c>
      <c r="AD9" s="25" t="s">
        <v>70</v>
      </c>
      <c r="AE9" s="25" t="s">
        <v>71</v>
      </c>
    </row>
    <row r="11" customFormat="false" ht="21.75" hidden="false" customHeight="true" outlineLevel="0" collapsed="false">
      <c r="A11" s="26" t="s">
        <v>72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customFormat="false" ht="15" hidden="false" customHeight="true" outlineLevel="0" collapsed="false">
      <c r="A12" s="27" t="s">
        <v>73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 customFormat="false" ht="16.5" hidden="false" customHeight="true" outlineLevel="0" collapsed="false">
      <c r="A13" s="28" t="s">
        <v>74</v>
      </c>
      <c r="B13" s="29" t="s">
        <v>75</v>
      </c>
      <c r="C13" s="30" t="n">
        <v>30721156</v>
      </c>
      <c r="D13" s="30" t="n">
        <v>32617557</v>
      </c>
      <c r="E13" s="30" t="n">
        <v>35889116</v>
      </c>
      <c r="F13" s="30" t="n">
        <v>41217191</v>
      </c>
      <c r="G13" s="30" t="n">
        <v>40815079</v>
      </c>
      <c r="H13" s="31" t="n">
        <v>41258451</v>
      </c>
      <c r="I13" s="31" t="n">
        <v>39247090</v>
      </c>
      <c r="J13" s="31" t="n">
        <v>62688378</v>
      </c>
      <c r="K13" s="31" t="n">
        <v>75004286</v>
      </c>
      <c r="L13" s="32" t="n">
        <v>36230203</v>
      </c>
      <c r="M13" s="33" t="n">
        <f aca="false">IFERROR(AVERAGEIF(C13:G13,"&gt;0"),0)</f>
        <v>36252019.8</v>
      </c>
      <c r="N13" s="34" t="n">
        <f aca="false">IFERROR(AVERAGEIF(H13:K13,"&gt;0"),0)</f>
        <v>54549551.25</v>
      </c>
      <c r="O13" s="35" t="n">
        <f aca="false">N13-M13</f>
        <v>18297531.45</v>
      </c>
      <c r="P13" s="36" t="n">
        <f aca="false">IFERROR(N13/M13,"n/a")</f>
        <v>1.50473136534037</v>
      </c>
      <c r="Q13" s="37" t="n">
        <f aca="false">IFERROR(N13/$C$3,0)</f>
        <v>0.49325041906926</v>
      </c>
      <c r="R13" s="37" t="n">
        <f aca="false">IFERROR(O13/$D$4,0)</f>
        <v>0.416132275307076</v>
      </c>
      <c r="S13" s="38" t="n">
        <f aca="false">IFERROR((Q13+R13)/2,0)</f>
        <v>0.454691347188168</v>
      </c>
      <c r="T13" s="39" t="n">
        <v>0.466462244665081</v>
      </c>
      <c r="U13" s="40" t="n">
        <f aca="false">IFERROR(POWER(K13/C13,1/8)-1,"n/a")</f>
        <v>0.118036716131945</v>
      </c>
      <c r="V13" s="41" t="n">
        <f aca="false">IFERROR(POWER(K13/H13,1/3)-1,"n/a")</f>
        <v>0.220462352831424</v>
      </c>
      <c r="W13" s="42" t="n">
        <f aca="false">IFERROR(V13-U13,"n/a")</f>
        <v>0.10242563669948</v>
      </c>
      <c r="X13" s="43" t="n">
        <f aca="false">IFERROR(SLOPE(C13:K13,{1,2,3,4,5,6,7,8,9})/AVERAGEIF(C13:K13,"&gt;0"),"n/a")</f>
        <v>0.102927710447597</v>
      </c>
      <c r="Y13" s="43" t="n">
        <f aca="false">IFERROR(SLOPE(H13:K13,{1,2,3,4})/AVERAGEIF(H13:K13,"&gt;0"),"n/a")</f>
        <v>0.228560620835538</v>
      </c>
      <c r="Z13" s="44" t="n">
        <f aca="false">IFERROR(H13/G13,"n/a")</f>
        <v>1.01086294602051</v>
      </c>
      <c r="AA13" s="45" t="n">
        <f aca="false">IFERROR(H13/F13,"n/a")</f>
        <v>1.00100103862003</v>
      </c>
      <c r="AB13" s="46" t="n">
        <v>0.701728149719044</v>
      </c>
      <c r="AC13" s="47" t="s">
        <v>76</v>
      </c>
      <c r="AD13" s="48" t="n">
        <v>0.04</v>
      </c>
      <c r="AE13" s="49" t="s">
        <v>77</v>
      </c>
    </row>
    <row r="14" customFormat="false" ht="16.5" hidden="false" customHeight="true" outlineLevel="0" collapsed="false">
      <c r="A14" s="28" t="s">
        <v>78</v>
      </c>
      <c r="B14" s="29" t="s">
        <v>79</v>
      </c>
      <c r="C14" s="30" t="n">
        <v>9453927</v>
      </c>
      <c r="D14" s="30" t="n">
        <v>12087410</v>
      </c>
      <c r="E14" s="30" t="n">
        <v>12201879</v>
      </c>
      <c r="F14" s="30" t="n">
        <v>5820733</v>
      </c>
      <c r="G14" s="30" t="n">
        <v>6583110</v>
      </c>
      <c r="H14" s="31" t="n">
        <v>4032921</v>
      </c>
      <c r="I14" s="31" t="n">
        <v>19064982</v>
      </c>
      <c r="J14" s="31" t="n">
        <v>12962379</v>
      </c>
      <c r="K14" s="31" t="n">
        <v>22342521</v>
      </c>
      <c r="L14" s="32" t="n">
        <v>14723376</v>
      </c>
      <c r="M14" s="33" t="n">
        <f aca="false">IFERROR(AVERAGEIF(C14:G14,"&gt;0"),0)</f>
        <v>9229411.8</v>
      </c>
      <c r="N14" s="34" t="n">
        <f aca="false">IFERROR(AVERAGEIF(H14:K14,"&gt;0"),0)</f>
        <v>14600700.75</v>
      </c>
      <c r="O14" s="35" t="n">
        <f aca="false">N14-M14</f>
        <v>5371288.95</v>
      </c>
      <c r="P14" s="36" t="n">
        <f aca="false">IFERROR(N14/M14,"n/a")</f>
        <v>1.58197521861577</v>
      </c>
      <c r="Q14" s="37" t="n">
        <f aca="false">IFERROR(N14/$C$3,0)</f>
        <v>0.132023116572244</v>
      </c>
      <c r="R14" s="37" t="n">
        <f aca="false">IFERROR(O14/$D$4,0)</f>
        <v>0.12215673454111</v>
      </c>
      <c r="S14" s="38" t="n">
        <f aca="false">IFERROR((Q14+R14)/2,0)</f>
        <v>0.127089925556677</v>
      </c>
      <c r="T14" s="39" t="n">
        <v>0.596702761705667</v>
      </c>
      <c r="U14" s="40" t="n">
        <f aca="false">IFERROR(POWER(K14/C14,1/8)-1,"n/a")</f>
        <v>0.113499410084767</v>
      </c>
      <c r="V14" s="41" t="n">
        <f aca="false">IFERROR(POWER(K14/H14,1/3)-1,"n/a")</f>
        <v>0.76944670610025</v>
      </c>
      <c r="W14" s="42" t="n">
        <f aca="false">IFERROR(V14-U14,"n/a")</f>
        <v>0.655947296015483</v>
      </c>
      <c r="X14" s="43" t="n">
        <f aca="false">IFERROR(SLOPE(C14:K14,{1,2,3,4,5,6,7,8,9})/AVERAGEIF(C14:K14,"&gt;0"),"n/a")</f>
        <v>0.0948604939335071</v>
      </c>
      <c r="Y14" s="43" t="n">
        <f aca="false">IFERROR(SLOPE(H14:K14,{1,2,3,4})/AVERAGEIF(H14:K14,"&gt;0"),"n/a")</f>
        <v>0.334409956316651</v>
      </c>
      <c r="Z14" s="45" t="n">
        <f aca="false">IFERROR(H14/G14,"n/a")</f>
        <v>0.612616377365713</v>
      </c>
      <c r="AA14" s="45" t="n">
        <f aca="false">IFERROR(H14/F14,"n/a")</f>
        <v>0.692854491006545</v>
      </c>
      <c r="AB14" s="46" t="n">
        <v>0.725242040180846</v>
      </c>
      <c r="AC14" s="47" t="s">
        <v>80</v>
      </c>
      <c r="AD14" s="48" t="n">
        <v>0.025</v>
      </c>
      <c r="AE14" s="49" t="s">
        <v>81</v>
      </c>
    </row>
    <row r="15" customFormat="false" ht="16.5" hidden="false" customHeight="true" outlineLevel="0" collapsed="false">
      <c r="A15" s="28" t="s">
        <v>82</v>
      </c>
      <c r="B15" s="29" t="s">
        <v>83</v>
      </c>
      <c r="C15" s="50" t="s">
        <v>84</v>
      </c>
      <c r="D15" s="30" t="n">
        <v>2514</v>
      </c>
      <c r="E15" s="30" t="n">
        <v>6060</v>
      </c>
      <c r="F15" s="30" t="n">
        <v>12082</v>
      </c>
      <c r="G15" s="30" t="n">
        <v>129415</v>
      </c>
      <c r="H15" s="31" t="n">
        <v>1078770</v>
      </c>
      <c r="I15" s="31" t="n">
        <v>3664910</v>
      </c>
      <c r="J15" s="31" t="n">
        <v>11734526</v>
      </c>
      <c r="K15" s="31" t="n">
        <v>12476852</v>
      </c>
      <c r="L15" s="32" t="n">
        <v>20460853</v>
      </c>
      <c r="M15" s="33" t="n">
        <f aca="false">IFERROR(AVERAGEIF(C15:G15,"&gt;0"),0)</f>
        <v>37517.75</v>
      </c>
      <c r="N15" s="34" t="n">
        <f aca="false">IFERROR(AVERAGEIF(H15:K15,"&gt;0"),0)</f>
        <v>7238764.5</v>
      </c>
      <c r="O15" s="35" t="n">
        <f aca="false">N15-M15</f>
        <v>7201246.75</v>
      </c>
      <c r="P15" s="51" t="n">
        <f aca="false">IFERROR(N15/M15,"n/a")</f>
        <v>192.942393933538</v>
      </c>
      <c r="Q15" s="52" t="n">
        <f aca="false">IFERROR(N15/$C$3,0)</f>
        <v>0.0654546837022547</v>
      </c>
      <c r="R15" s="37" t="n">
        <f aca="false">IFERROR(O15/$D$4,0)</f>
        <v>0.163774616445607</v>
      </c>
      <c r="S15" s="38" t="n">
        <f aca="false">IFERROR((Q15+R15)/2,0)</f>
        <v>0.114614650073931</v>
      </c>
      <c r="T15" s="39" t="n">
        <v>0.712879418300944</v>
      </c>
      <c r="U15" s="41" t="str">
        <f aca="false">IFERROR(POWER(K15/C15,1/8)-1,"n/a")</f>
        <v>n/a</v>
      </c>
      <c r="V15" s="41" t="n">
        <f aca="false">IFERROR(POWER(K15/H15,1/3)-1,"n/a")</f>
        <v>1.26147637084449</v>
      </c>
      <c r="W15" s="53" t="str">
        <f aca="false">IFERROR(V15-U15,"n/a")</f>
        <v>n/a</v>
      </c>
      <c r="X15" s="43" t="n">
        <f aca="false">IFERROR(SLOPE(C15:K15,{1,2,3,4,5,6,7,8,9})/AVERAGEIF(C15:K15,"&gt;0"),"n/a")</f>
        <v>0.51658554915249</v>
      </c>
      <c r="Y15" s="43" t="n">
        <f aca="false">IFERROR(SLOPE(H15:K15,{1,2,3,4})/AVERAGEIF(H15:K15,"&gt;0"),"n/a")</f>
        <v>0.583854634309488</v>
      </c>
      <c r="Z15" s="54" t="n">
        <f aca="false">IFERROR(H15/G15,"n/a")</f>
        <v>8.33574160645984</v>
      </c>
      <c r="AA15" s="55" t="n">
        <f aca="false">IFERROR(H15/F15,"n/a")</f>
        <v>89.2873696407879</v>
      </c>
      <c r="AB15" s="56" t="n">
        <v>1.61945108174192</v>
      </c>
      <c r="AC15" s="47" t="s">
        <v>80</v>
      </c>
      <c r="AD15" s="48" t="n">
        <v>0.025</v>
      </c>
      <c r="AE15" s="49" t="s">
        <v>81</v>
      </c>
    </row>
    <row r="16" customFormat="false" ht="16.5" hidden="false" customHeight="true" outlineLevel="0" collapsed="false">
      <c r="A16" s="28" t="s">
        <v>85</v>
      </c>
      <c r="B16" s="29" t="s">
        <v>86</v>
      </c>
      <c r="C16" s="30" t="n">
        <v>93659</v>
      </c>
      <c r="D16" s="30" t="n">
        <v>660315</v>
      </c>
      <c r="E16" s="30" t="n">
        <v>299876</v>
      </c>
      <c r="F16" s="30" t="n">
        <v>325883</v>
      </c>
      <c r="G16" s="30" t="n">
        <v>1680964</v>
      </c>
      <c r="H16" s="31" t="n">
        <v>6595838</v>
      </c>
      <c r="I16" s="31" t="n">
        <v>2798381</v>
      </c>
      <c r="J16" s="31" t="n">
        <v>3604831</v>
      </c>
      <c r="K16" s="31" t="n">
        <v>2201416</v>
      </c>
      <c r="L16" s="32" t="n">
        <v>906340</v>
      </c>
      <c r="M16" s="33" t="n">
        <f aca="false">IFERROR(AVERAGEIF(C16:G16,"&gt;0"),0)</f>
        <v>612139.4</v>
      </c>
      <c r="N16" s="34" t="n">
        <f aca="false">IFERROR(AVERAGEIF(H16:K16,"&gt;0"),0)</f>
        <v>3800116.5</v>
      </c>
      <c r="O16" s="35" t="n">
        <f aca="false">N16-M16</f>
        <v>3187977.1</v>
      </c>
      <c r="P16" s="51" t="n">
        <f aca="false">IFERROR(N16/M16,"n/a")</f>
        <v>6.20792665853562</v>
      </c>
      <c r="Q16" s="52" t="n">
        <f aca="false">IFERROR(N16/$C$3,0)</f>
        <v>0.0343615852593656</v>
      </c>
      <c r="R16" s="52" t="n">
        <f aca="false">IFERROR(O16/$D$4,0)</f>
        <v>0.072502685287083</v>
      </c>
      <c r="S16" s="57" t="n">
        <f aca="false">IFERROR((Q16+R16)/2,0)</f>
        <v>0.0534321352732243</v>
      </c>
      <c r="T16" s="39" t="n">
        <v>0.767131556318404</v>
      </c>
      <c r="U16" s="41" t="n">
        <f aca="false">IFERROR(POWER(K16/C16,1/8)-1,"n/a")</f>
        <v>0.483863920456935</v>
      </c>
      <c r="V16" s="58" t="n">
        <f aca="false">IFERROR(POWER(K16/H16,1/3)-1,"n/a")</f>
        <v>-0.306344161525015</v>
      </c>
      <c r="W16" s="53" t="n">
        <f aca="false">IFERROR(V16-U16,"n/a")</f>
        <v>-0.79020808198195</v>
      </c>
      <c r="X16" s="43" t="n">
        <f aca="false">IFERROR(SLOPE(C16:K16,{1,2,3,4,5,6,7,8,9})/AVERAGEIF(C16:K16,"&gt;0"),"n/a")</f>
        <v>0.234362463661268</v>
      </c>
      <c r="Y16" s="59" t="n">
        <f aca="false">IFERROR(SLOPE(H16:K16,{1,2,3,4})/AVERAGEIF(H16:K16,"&gt;0"),"n/a")</f>
        <v>-0.325695699066068</v>
      </c>
      <c r="Z16" s="54" t="n">
        <f aca="false">IFERROR(H16/G16,"n/a")</f>
        <v>3.92384250941722</v>
      </c>
      <c r="AA16" s="55" t="n">
        <f aca="false">IFERROR(H16/F16,"n/a")</f>
        <v>20.2398959135641</v>
      </c>
      <c r="AB16" s="46" t="n">
        <v>0.703739740610584</v>
      </c>
      <c r="AC16" s="47" t="s">
        <v>80</v>
      </c>
      <c r="AD16" s="48" t="n">
        <v>0.025</v>
      </c>
      <c r="AE16" s="49" t="s">
        <v>81</v>
      </c>
    </row>
    <row r="18" customFormat="false" ht="21.75" hidden="false" customHeight="true" outlineLevel="0" collapsed="false">
      <c r="A18" s="60" t="s">
        <v>87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</row>
    <row r="19" customFormat="false" ht="15" hidden="false" customHeight="true" outlineLevel="0" collapsed="false">
      <c r="A19" s="61" t="s">
        <v>88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</row>
    <row r="20" customFormat="false" ht="16.5" hidden="false" customHeight="true" outlineLevel="0" collapsed="false">
      <c r="A20" s="62" t="s">
        <v>89</v>
      </c>
      <c r="B20" s="63" t="s">
        <v>90</v>
      </c>
      <c r="C20" s="50" t="s">
        <v>84</v>
      </c>
      <c r="D20" s="30" t="n">
        <v>45</v>
      </c>
      <c r="E20" s="30" t="n">
        <v>238000</v>
      </c>
      <c r="F20" s="50" t="s">
        <v>84</v>
      </c>
      <c r="G20" s="50" t="s">
        <v>84</v>
      </c>
      <c r="H20" s="31" t="n">
        <v>1526400</v>
      </c>
      <c r="I20" s="31" t="n">
        <v>3168000</v>
      </c>
      <c r="J20" s="31" t="n">
        <v>4682823</v>
      </c>
      <c r="K20" s="31" t="n">
        <v>2876640</v>
      </c>
      <c r="L20" s="32" t="n">
        <v>3796808</v>
      </c>
      <c r="M20" s="33" t="n">
        <f aca="false">IFERROR(AVERAGEIF(C20:G20,"&gt;0"),0)</f>
        <v>119022.5</v>
      </c>
      <c r="N20" s="34" t="n">
        <f aca="false">IFERROR(AVERAGEIF(H20:K20,"&gt;0"),0)</f>
        <v>3063465.75</v>
      </c>
      <c r="O20" s="35" t="n">
        <f aca="false">N20-M20</f>
        <v>2944443.25</v>
      </c>
      <c r="P20" s="51" t="n">
        <f aca="false">IFERROR(N20/M20,"n/a")</f>
        <v>25.738543132601</v>
      </c>
      <c r="Q20" s="52" t="n">
        <f aca="false">IFERROR(N20/$C$3,0)</f>
        <v>0.0277006085360203</v>
      </c>
      <c r="R20" s="52" t="n">
        <f aca="false">IFERROR(O20/$D$4,0)</f>
        <v>0.0669641078351616</v>
      </c>
      <c r="S20" s="57" t="n">
        <f aca="false">IFERROR((Q20+R20)/2,0)</f>
        <v>0.0473323581855909</v>
      </c>
      <c r="T20" s="64" t="n">
        <v>0.815124960111905</v>
      </c>
      <c r="U20" s="41" t="str">
        <f aca="false">IFERROR(POWER(K20/C20,1/8)-1,"n/a")</f>
        <v>n/a</v>
      </c>
      <c r="V20" s="41" t="n">
        <f aca="false">IFERROR(POWER(K20/H20,1/3)-1,"n/a")</f>
        <v>0.23520503296393</v>
      </c>
      <c r="W20" s="53" t="str">
        <f aca="false">IFERROR(V20-U20,"n/a")</f>
        <v>n/a</v>
      </c>
      <c r="X20" s="43" t="n">
        <f aca="false">IFERROR(SLOPE(C20:K20,{1,2,3,4,5,6,7,8,9})/AVERAGEIF(C20:K20,"&gt;0"),"n/a")</f>
        <v>0.278679751703462</v>
      </c>
      <c r="Y20" s="43" t="n">
        <f aca="false">IFERROR(SLOPE(H20:K20,{1,2,3,4})/AVERAGEIF(H20:K20,"&gt;0"),"n/a")</f>
        <v>0.18167472575791</v>
      </c>
      <c r="Z20" s="45" t="str">
        <f aca="false">IFERROR(H20/G20,"n/a")</f>
        <v>n/a</v>
      </c>
      <c r="AA20" s="45" t="str">
        <f aca="false">IFERROR(H20/F20,"n/a")</f>
        <v>n/a</v>
      </c>
      <c r="AB20" s="56" t="n">
        <v>1.75112756959445</v>
      </c>
      <c r="AC20" s="47" t="s">
        <v>91</v>
      </c>
      <c r="AD20" s="65" t="n">
        <v>1.215</v>
      </c>
      <c r="AE20" s="66" t="s">
        <v>92</v>
      </c>
    </row>
    <row r="21" customFormat="false" ht="16.5" hidden="false" customHeight="true" outlineLevel="0" collapsed="false">
      <c r="A21" s="62" t="s">
        <v>93</v>
      </c>
      <c r="B21" s="63" t="s">
        <v>94</v>
      </c>
      <c r="C21" s="30" t="n">
        <v>4154962</v>
      </c>
      <c r="D21" s="30" t="n">
        <v>4792624</v>
      </c>
      <c r="E21" s="30" t="n">
        <v>5245056</v>
      </c>
      <c r="F21" s="30" t="n">
        <v>3499186</v>
      </c>
      <c r="G21" s="30" t="n">
        <v>2874381</v>
      </c>
      <c r="H21" s="31" t="n">
        <v>4390403</v>
      </c>
      <c r="I21" s="31" t="n">
        <v>7034281</v>
      </c>
      <c r="J21" s="31" t="n">
        <v>4219886</v>
      </c>
      <c r="K21" s="31" t="n">
        <v>7240292</v>
      </c>
      <c r="L21" s="32" t="n">
        <v>4650652</v>
      </c>
      <c r="M21" s="33" t="n">
        <f aca="false">IFERROR(AVERAGEIF(C21:G21,"&gt;0"),0)</f>
        <v>4113241.8</v>
      </c>
      <c r="N21" s="34" t="n">
        <f aca="false">IFERROR(AVERAGEIF(H21:K21,"&gt;0"),0)</f>
        <v>5721215.5</v>
      </c>
      <c r="O21" s="35" t="n">
        <f aca="false">N21-M21</f>
        <v>1607973.7</v>
      </c>
      <c r="P21" s="36" t="n">
        <f aca="false">IFERROR(N21/M21,"n/a")</f>
        <v>1.3909261303335</v>
      </c>
      <c r="Q21" s="52" t="n">
        <f aca="false">IFERROR(N21/$C$3,0)</f>
        <v>0.0517326335101711</v>
      </c>
      <c r="R21" s="52" t="n">
        <f aca="false">IFERROR(O21/$D$4,0)</f>
        <v>0.0365694004266864</v>
      </c>
      <c r="S21" s="57" t="n">
        <f aca="false">IFERROR((Q21+R21)/2,0)</f>
        <v>0.0441510169684287</v>
      </c>
      <c r="T21" s="64" t="n">
        <v>0.860510521445056</v>
      </c>
      <c r="U21" s="40" t="n">
        <f aca="false">IFERROR(POWER(K21/C21,1/8)-1,"n/a")</f>
        <v>0.0718860729869597</v>
      </c>
      <c r="V21" s="40" t="n">
        <f aca="false">IFERROR(POWER(K21/H21,1/3)-1,"n/a")</f>
        <v>0.181455128160837</v>
      </c>
      <c r="W21" s="42" t="n">
        <f aca="false">IFERROR(V21-U21,"n/a")</f>
        <v>0.109569055173877</v>
      </c>
      <c r="X21" s="43" t="n">
        <f aca="false">IFERROR(SLOPE(C21:K21,{1,2,3,4,5,6,7,8,9})/AVERAGEIF(C21:K21,"&gt;0"),"n/a")</f>
        <v>0.0521026501280026</v>
      </c>
      <c r="Y21" s="43" t="n">
        <f aca="false">IFERROR(SLOPE(H21:K21,{1,2,3,4})/AVERAGEIF(H21:K21,"&gt;0"),"n/a")</f>
        <v>0.100245690797698</v>
      </c>
      <c r="Z21" s="67" t="n">
        <f aca="false">IFERROR(H21/G21,"n/a")</f>
        <v>1.52742555701558</v>
      </c>
      <c r="AA21" s="45" t="n">
        <f aca="false">IFERROR(H21/F21,"n/a")</f>
        <v>1.25469266280786</v>
      </c>
      <c r="AB21" s="46" t="n">
        <v>0.695317513093736</v>
      </c>
      <c r="AC21" s="47" t="s">
        <v>80</v>
      </c>
      <c r="AD21" s="48" t="n">
        <v>0.025</v>
      </c>
      <c r="AE21" s="49" t="s">
        <v>81</v>
      </c>
    </row>
    <row r="22" customFormat="false" ht="16.5" hidden="false" customHeight="true" outlineLevel="0" collapsed="false">
      <c r="A22" s="62" t="s">
        <v>95</v>
      </c>
      <c r="B22" s="63" t="s">
        <v>96</v>
      </c>
      <c r="C22" s="30" t="n">
        <v>51830</v>
      </c>
      <c r="D22" s="50" t="s">
        <v>84</v>
      </c>
      <c r="E22" s="50" t="s">
        <v>84</v>
      </c>
      <c r="F22" s="30" t="n">
        <v>1538903</v>
      </c>
      <c r="G22" s="30" t="n">
        <v>3396178</v>
      </c>
      <c r="H22" s="31" t="n">
        <v>4618760</v>
      </c>
      <c r="I22" s="31" t="n">
        <v>6731139</v>
      </c>
      <c r="J22" s="31" t="n">
        <v>349046</v>
      </c>
      <c r="K22" s="31" t="n">
        <v>773094</v>
      </c>
      <c r="L22" s="32" t="n">
        <v>366719</v>
      </c>
      <c r="M22" s="33" t="n">
        <f aca="false">IFERROR(AVERAGEIF(C22:G22,"&gt;0"),0)</f>
        <v>1662303.66666667</v>
      </c>
      <c r="N22" s="34" t="n">
        <f aca="false">IFERROR(AVERAGEIF(H22:K22,"&gt;0"),0)</f>
        <v>3118009.75</v>
      </c>
      <c r="O22" s="35" t="n">
        <f aca="false">N22-M22</f>
        <v>1455706.08333333</v>
      </c>
      <c r="P22" s="36" t="n">
        <f aca="false">IFERROR(N22/M22,"n/a")</f>
        <v>1.87571609960555</v>
      </c>
      <c r="Q22" s="52" t="n">
        <f aca="false">IFERROR(N22/$C$3,0)</f>
        <v>0.0281938087593257</v>
      </c>
      <c r="R22" s="52" t="n">
        <f aca="false">IFERROR(O22/$D$4,0)</f>
        <v>0.0331064486098124</v>
      </c>
      <c r="S22" s="57" t="n">
        <f aca="false">IFERROR((Q22+R22)/2,0)</f>
        <v>0.0306501286845691</v>
      </c>
      <c r="T22" s="64" t="n">
        <v>0.891833465437144</v>
      </c>
      <c r="U22" s="41" t="n">
        <f aca="false">IFERROR(POWER(K22/C22,1/8)-1,"n/a")</f>
        <v>0.401865625481826</v>
      </c>
      <c r="V22" s="58" t="n">
        <f aca="false">IFERROR(POWER(K22/H22,1/3)-1,"n/a")</f>
        <v>-0.448893370258228</v>
      </c>
      <c r="W22" s="53" t="n">
        <f aca="false">IFERROR(V22-U22,"n/a")</f>
        <v>-0.850758995740054</v>
      </c>
      <c r="X22" s="43" t="n">
        <f aca="false">IFERROR(SLOPE(C22:K22,{1,2,3,4,5,6,7,8,9})/AVERAGEIF(C22:K22,"&gt;0"),"n/a")</f>
        <v>0.0738911604453816</v>
      </c>
      <c r="Y22" s="59" t="n">
        <f aca="false">IFERROR(SLOPE(H22:K22,{1,2,3,4})/AVERAGEIF(H22:K22,"&gt;0"),"n/a")</f>
        <v>-0.574696438970404</v>
      </c>
      <c r="Z22" s="44" t="n">
        <f aca="false">IFERROR(H22/G22,"n/a")</f>
        <v>1.35998760960115</v>
      </c>
      <c r="AA22" s="55" t="n">
        <f aca="false">IFERROR(H22/F22,"n/a")</f>
        <v>3.00133276756235</v>
      </c>
      <c r="AB22" s="46" t="n">
        <v>0.191564934437211</v>
      </c>
      <c r="AC22" s="47" t="s">
        <v>97</v>
      </c>
      <c r="AD22" s="48" t="n">
        <v>0.035</v>
      </c>
      <c r="AE22" s="49" t="s">
        <v>98</v>
      </c>
    </row>
    <row r="23" customFormat="false" ht="16.5" hidden="false" customHeight="true" outlineLevel="0" collapsed="false">
      <c r="A23" s="62" t="s">
        <v>99</v>
      </c>
      <c r="B23" s="63" t="s">
        <v>100</v>
      </c>
      <c r="C23" s="30" t="n">
        <v>4046415</v>
      </c>
      <c r="D23" s="30" t="n">
        <v>2073833</v>
      </c>
      <c r="E23" s="30" t="n">
        <v>4104589</v>
      </c>
      <c r="F23" s="30" t="n">
        <v>2633455</v>
      </c>
      <c r="G23" s="30" t="n">
        <v>3591395</v>
      </c>
      <c r="H23" s="31" t="n">
        <v>2205308</v>
      </c>
      <c r="I23" s="31" t="n">
        <v>949172</v>
      </c>
      <c r="J23" s="31" t="n">
        <v>2704374</v>
      </c>
      <c r="K23" s="31" t="n">
        <v>10477165</v>
      </c>
      <c r="L23" s="32" t="n">
        <v>15725640</v>
      </c>
      <c r="M23" s="33" t="n">
        <f aca="false">IFERROR(AVERAGEIF(C23:G23,"&gt;0"),0)</f>
        <v>3289937.4</v>
      </c>
      <c r="N23" s="34" t="n">
        <f aca="false">IFERROR(AVERAGEIF(H23:K23,"&gt;0"),0)</f>
        <v>4084004.75</v>
      </c>
      <c r="O23" s="68" t="n">
        <f aca="false">N23-M23</f>
        <v>794067.35</v>
      </c>
      <c r="P23" s="36" t="n">
        <f aca="false">IFERROR(N23/M23,"n/a")</f>
        <v>1.24136244963202</v>
      </c>
      <c r="Q23" s="52" t="n">
        <f aca="false">IFERROR(N23/$C$3,0)</f>
        <v>0.0369285724310766</v>
      </c>
      <c r="R23" s="69" t="n">
        <f aca="false">IFERROR(O23/$D$4,0)</f>
        <v>0.0180591056233741</v>
      </c>
      <c r="S23" s="57" t="n">
        <f aca="false">IFERROR((Q23+R23)/2,0)</f>
        <v>0.0274938390272253</v>
      </c>
      <c r="T23" s="64" t="n">
        <v>0.920208565631618</v>
      </c>
      <c r="U23" s="40" t="n">
        <f aca="false">IFERROR(POWER(K23/C23,1/8)-1,"n/a")</f>
        <v>0.126280772890174</v>
      </c>
      <c r="V23" s="41" t="n">
        <f aca="false">IFERROR(POWER(K23/H23,1/3)-1,"n/a")</f>
        <v>0.681092111274889</v>
      </c>
      <c r="W23" s="42" t="n">
        <f aca="false">IFERROR(V23-U23,"n/a")</f>
        <v>0.554811338384714</v>
      </c>
      <c r="X23" s="43" t="n">
        <f aca="false">IFERROR(SLOPE(C23:K23,{1,2,3,4,5,6,7,8,9})/AVERAGEIF(C23:K23,"&gt;0"),"n/a")</f>
        <v>0.0955094973400908</v>
      </c>
      <c r="Y23" s="43" t="n">
        <f aca="false">IFERROR(SLOPE(H23:K23,{1,2,3,4})/AVERAGEIF(H23:K23,"&gt;0"),"n/a")</f>
        <v>0.650605829976079</v>
      </c>
      <c r="Z23" s="45" t="n">
        <f aca="false">IFERROR(H23/G23,"n/a")</f>
        <v>0.614053313545294</v>
      </c>
      <c r="AA23" s="45" t="n">
        <f aca="false">IFERROR(H23/F23,"n/a")</f>
        <v>0.837420043251166</v>
      </c>
      <c r="AB23" s="56" t="n">
        <v>1.8833630559971</v>
      </c>
      <c r="AC23" s="47" t="s">
        <v>101</v>
      </c>
      <c r="AD23" s="48" t="n">
        <v>0.0325</v>
      </c>
      <c r="AE23" s="49" t="s">
        <v>102</v>
      </c>
    </row>
    <row r="24" customFormat="false" ht="16.5" hidden="false" customHeight="true" outlineLevel="0" collapsed="false">
      <c r="A24" s="62" t="s">
        <v>103</v>
      </c>
      <c r="B24" s="63" t="s">
        <v>104</v>
      </c>
      <c r="C24" s="30" t="n">
        <v>3836271</v>
      </c>
      <c r="D24" s="30" t="n">
        <v>3302641</v>
      </c>
      <c r="E24" s="30" t="n">
        <v>3303087</v>
      </c>
      <c r="F24" s="30" t="n">
        <v>2322010</v>
      </c>
      <c r="G24" s="30" t="n">
        <v>2731767</v>
      </c>
      <c r="H24" s="31" t="n">
        <v>3383166</v>
      </c>
      <c r="I24" s="31" t="n">
        <v>3010444</v>
      </c>
      <c r="J24" s="31" t="n">
        <v>4405439</v>
      </c>
      <c r="K24" s="31" t="n">
        <v>4531707</v>
      </c>
      <c r="L24" s="32" t="n">
        <v>4159092</v>
      </c>
      <c r="M24" s="33" t="n">
        <f aca="false">IFERROR(AVERAGEIF(C24:G24,"&gt;0"),0)</f>
        <v>3099155.2</v>
      </c>
      <c r="N24" s="34" t="n">
        <f aca="false">IFERROR(AVERAGEIF(H24:K24,"&gt;0"),0)</f>
        <v>3832689</v>
      </c>
      <c r="O24" s="68" t="n">
        <f aca="false">N24-M24</f>
        <v>733533.8</v>
      </c>
      <c r="P24" s="36" t="n">
        <f aca="false">IFERROR(N24/M24,"n/a")</f>
        <v>1.23668830783305</v>
      </c>
      <c r="Q24" s="52" t="n">
        <f aca="false">IFERROR(N24/$C$3,0)</f>
        <v>0.0346561137918095</v>
      </c>
      <c r="R24" s="69" t="n">
        <f aca="false">IFERROR(O24/$D$4,0)</f>
        <v>0.0166824191581671</v>
      </c>
      <c r="S24" s="57" t="n">
        <f aca="false">IFERROR((Q24+R24)/2,0)</f>
        <v>0.0256692664749883</v>
      </c>
      <c r="T24" s="64" t="n">
        <v>0.946704863461514</v>
      </c>
      <c r="U24" s="70" t="n">
        <f aca="false">IFERROR(POWER(K24/C24,1/8)-1,"n/a")</f>
        <v>0.0210430839457958</v>
      </c>
      <c r="V24" s="40" t="n">
        <f aca="false">IFERROR(POWER(K24/H24,1/3)-1,"n/a")</f>
        <v>0.10233307474234</v>
      </c>
      <c r="W24" s="71" t="n">
        <f aca="false">IFERROR(V24-U24,"n/a")</f>
        <v>0.0812899907965443</v>
      </c>
      <c r="X24" s="43" t="n">
        <f aca="false">IFERROR(SLOPE(C24:K24,{1,2,3,4,5,6,7,8,9})/AVERAGEIF(C24:K24,"&gt;0"),"n/a")</f>
        <v>0.0319497892270204</v>
      </c>
      <c r="Y24" s="43" t="n">
        <f aca="false">IFERROR(SLOPE(H24:K24,{1,2,3,4})/AVERAGEIF(H24:K24,"&gt;0"),"n/a")</f>
        <v>0.126298220387827</v>
      </c>
      <c r="Z24" s="44" t="n">
        <f aca="false">IFERROR(H24/G24,"n/a")</f>
        <v>1.23845335272005</v>
      </c>
      <c r="AA24" s="45" t="n">
        <f aca="false">IFERROR(H24/F24,"n/a")</f>
        <v>1.45699889320029</v>
      </c>
      <c r="AB24" s="56" t="n">
        <v>1.06657040700841</v>
      </c>
      <c r="AC24" s="47" t="s">
        <v>80</v>
      </c>
      <c r="AD24" s="48" t="n">
        <v>0.025</v>
      </c>
      <c r="AE24" s="49" t="s">
        <v>81</v>
      </c>
    </row>
    <row r="26" customFormat="false" ht="21.75" hidden="false" customHeight="true" outlineLevel="0" collapsed="false">
      <c r="A26" s="72" t="s">
        <v>105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</row>
    <row r="27" customFormat="false" ht="15" hidden="false" customHeight="true" outlineLevel="0" collapsed="false">
      <c r="A27" s="73" t="s">
        <v>106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</row>
    <row r="28" customFormat="false" ht="16.5" hidden="false" customHeight="true" outlineLevel="0" collapsed="false">
      <c r="A28" s="74" t="s">
        <v>107</v>
      </c>
      <c r="B28" s="75" t="s">
        <v>108</v>
      </c>
      <c r="C28" s="30" t="n">
        <v>3311594</v>
      </c>
      <c r="D28" s="30" t="n">
        <v>2307625</v>
      </c>
      <c r="E28" s="30" t="n">
        <v>3237711</v>
      </c>
      <c r="F28" s="30" t="n">
        <v>2232426</v>
      </c>
      <c r="G28" s="30" t="n">
        <v>1676084</v>
      </c>
      <c r="H28" s="31" t="n">
        <v>3620664</v>
      </c>
      <c r="I28" s="31" t="n">
        <v>1547275</v>
      </c>
      <c r="J28" s="31" t="n">
        <v>1218386</v>
      </c>
      <c r="K28" s="31" t="n">
        <v>1810564</v>
      </c>
      <c r="L28" s="32" t="n">
        <v>2258466</v>
      </c>
      <c r="M28" s="33" t="n">
        <f aca="false">IFERROR(AVERAGEIF(C28:G28,"&gt;0"),0)</f>
        <v>2553088</v>
      </c>
      <c r="N28" s="34" t="n">
        <f aca="false">IFERROR(AVERAGEIF(H28:K28,"&gt;0"),0)</f>
        <v>2049222.25</v>
      </c>
      <c r="O28" s="76" t="n">
        <f aca="false">N28-M28</f>
        <v>-503865.75</v>
      </c>
      <c r="P28" s="77" t="n">
        <f aca="false">IFERROR(N28/M28,"n/a")</f>
        <v>0.802644581777048</v>
      </c>
      <c r="Q28" s="69" t="n">
        <f aca="false">IFERROR(N28/$C$3,0)</f>
        <v>0.0185295700957494</v>
      </c>
      <c r="R28" s="69" t="n">
        <f aca="false">IFERROR(O28/$D$4,0)</f>
        <v>-0.0114591851676695</v>
      </c>
      <c r="S28" s="78" t="n">
        <f aca="false">IFERROR((Q28+R28)/2,0)</f>
        <v>0.00353519246403997</v>
      </c>
      <c r="T28" s="79"/>
      <c r="U28" s="58" t="n">
        <f aca="false">IFERROR(POWER(K28/C28,1/8)-1,"n/a")</f>
        <v>-0.0726960724253296</v>
      </c>
      <c r="V28" s="58" t="n">
        <f aca="false">IFERROR(POWER(K28/H28,1/3)-1,"n/a")</f>
        <v>-0.206265570353183</v>
      </c>
      <c r="W28" s="53" t="n">
        <f aca="false">IFERROR(V28-U28,"n/a")</f>
        <v>-0.133569497927853</v>
      </c>
      <c r="X28" s="59" t="n">
        <f aca="false">IFERROR(SLOPE(C28:K28,{1,2,3,4,5,6,7,8,9})/AVERAGEIF(C28:K28,"&gt;0"),"n/a")</f>
        <v>-0.0806051011793585</v>
      </c>
      <c r="Y28" s="59" t="n">
        <f aca="false">IFERROR(SLOPE(H28:K28,{1,2,3,4})/AVERAGEIF(H28:K28,"&gt;0"),"n/a")</f>
        <v>-0.281042673628983</v>
      </c>
      <c r="Z28" s="80" t="n">
        <f aca="false">IFERROR(H28/G28,"n/a")</f>
        <v>2.1601924485885</v>
      </c>
      <c r="AA28" s="67" t="n">
        <f aca="false">IFERROR(H28/F28,"n/a")</f>
        <v>1.62185174335006</v>
      </c>
      <c r="AB28" s="56" t="n">
        <v>1.25176043415171</v>
      </c>
      <c r="AC28" s="47" t="s">
        <v>97</v>
      </c>
      <c r="AD28" s="48" t="n">
        <v>0.035</v>
      </c>
      <c r="AE28" s="49" t="s">
        <v>98</v>
      </c>
    </row>
    <row r="29" customFormat="false" ht="16.5" hidden="false" customHeight="true" outlineLevel="0" collapsed="false">
      <c r="A29" s="74" t="s">
        <v>109</v>
      </c>
      <c r="B29" s="75" t="s">
        <v>110</v>
      </c>
      <c r="C29" s="30" t="n">
        <v>47361</v>
      </c>
      <c r="D29" s="30" t="n">
        <v>584099</v>
      </c>
      <c r="E29" s="30" t="n">
        <v>3907561</v>
      </c>
      <c r="F29" s="30" t="n">
        <v>4474950</v>
      </c>
      <c r="G29" s="30" t="n">
        <v>480199</v>
      </c>
      <c r="H29" s="31" t="n">
        <v>1110126</v>
      </c>
      <c r="I29" s="31" t="n">
        <v>390289</v>
      </c>
      <c r="J29" s="31" t="n">
        <v>1651532</v>
      </c>
      <c r="K29" s="31" t="n">
        <v>1240062</v>
      </c>
      <c r="L29" s="32" t="n">
        <v>532601</v>
      </c>
      <c r="M29" s="33" t="n">
        <f aca="false">IFERROR(AVERAGEIF(C29:G29,"&gt;0"),0)</f>
        <v>1898834</v>
      </c>
      <c r="N29" s="34" t="n">
        <f aca="false">IFERROR(AVERAGEIF(H29:K29,"&gt;0"),0)</f>
        <v>1098002.25</v>
      </c>
      <c r="O29" s="76" t="n">
        <f aca="false">N29-M29</f>
        <v>-800831.75</v>
      </c>
      <c r="P29" s="77" t="n">
        <f aca="false">IFERROR(N29/M29,"n/a")</f>
        <v>0.57825078442876</v>
      </c>
      <c r="Q29" s="69" t="n">
        <f aca="false">IFERROR(N29/$C$3,0)</f>
        <v>0.00992840559713111</v>
      </c>
      <c r="R29" s="69" t="n">
        <f aca="false">IFERROR(O29/$D$4,0)</f>
        <v>-0.0182129452367001</v>
      </c>
      <c r="S29" s="78" t="n">
        <f aca="false">IFERROR((Q29+R29)/2,0)</f>
        <v>-0.00414226981978448</v>
      </c>
      <c r="T29" s="79"/>
      <c r="U29" s="41" t="n">
        <f aca="false">IFERROR(POWER(K29/C29,1/8)-1,"n/a")</f>
        <v>0.504017248706033</v>
      </c>
      <c r="V29" s="70" t="n">
        <f aca="false">IFERROR(POWER(K29/H29,1/3)-1,"n/a")</f>
        <v>0.0375850565616644</v>
      </c>
      <c r="W29" s="53" t="n">
        <f aca="false">IFERROR(V29-U29,"n/a")</f>
        <v>-0.466432192144369</v>
      </c>
      <c r="X29" s="59" t="n">
        <f aca="false">IFERROR(SLOPE(C29:K29,{1,2,3,4,5,6,7,8,9})/AVERAGEIF(C29:K29,"&gt;0"),"n/a")</f>
        <v>-0.026208775646634</v>
      </c>
      <c r="Y29" s="43" t="n">
        <f aca="false">IFERROR(SLOPE(H29:K29,{1,2,3,4})/AVERAGEIF(H29:K29,"&gt;0"),"n/a")</f>
        <v>0.150368635401248</v>
      </c>
      <c r="Z29" s="80" t="n">
        <f aca="false">IFERROR(H29/G29,"n/a")</f>
        <v>2.3118040645649</v>
      </c>
      <c r="AA29" s="45" t="n">
        <f aca="false">IFERROR(H29/F29,"n/a")</f>
        <v>0.248075620956659</v>
      </c>
      <c r="AB29" s="46" t="n">
        <v>0.43922344725007</v>
      </c>
      <c r="AC29" s="47" t="s">
        <v>111</v>
      </c>
      <c r="AD29" s="48" t="n">
        <v>0.075</v>
      </c>
      <c r="AE29" s="49" t="s">
        <v>112</v>
      </c>
    </row>
    <row r="31" customFormat="false" ht="21.75" hidden="false" customHeight="true" outlineLevel="0" collapsed="false">
      <c r="A31" s="81" t="s">
        <v>113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</row>
    <row r="32" customFormat="false" ht="15" hidden="false" customHeight="true" outlineLevel="0" collapsed="false">
      <c r="A32" s="82" t="s">
        <v>114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</row>
    <row r="33" customFormat="false" ht="16.5" hidden="false" customHeight="true" outlineLevel="0" collapsed="false">
      <c r="A33" s="83" t="s">
        <v>115</v>
      </c>
      <c r="B33" s="84" t="s">
        <v>116</v>
      </c>
      <c r="C33" s="30" t="n">
        <v>1012263</v>
      </c>
      <c r="D33" s="30" t="n">
        <v>1817075</v>
      </c>
      <c r="E33" s="30" t="n">
        <v>1328718</v>
      </c>
      <c r="F33" s="30" t="n">
        <v>1162389</v>
      </c>
      <c r="G33" s="30" t="n">
        <v>892639</v>
      </c>
      <c r="H33" s="31" t="n">
        <v>367450</v>
      </c>
      <c r="I33" s="31" t="n">
        <v>587903</v>
      </c>
      <c r="J33" s="31" t="n">
        <v>1222477</v>
      </c>
      <c r="K33" s="31" t="n">
        <v>2068841</v>
      </c>
      <c r="L33" s="32" t="n">
        <v>1171190</v>
      </c>
      <c r="M33" s="33" t="n">
        <f aca="false">IFERROR(AVERAGEIF(C33:G33,"&gt;0"),0)</f>
        <v>1242616.8</v>
      </c>
      <c r="N33" s="34" t="n">
        <f aca="false">IFERROR(AVERAGEIF(H33:K33,"&gt;0"),0)</f>
        <v>1061667.75</v>
      </c>
      <c r="O33" s="76" t="n">
        <f aca="false">N33-M33</f>
        <v>-180949.05</v>
      </c>
      <c r="P33" s="77" t="n">
        <f aca="false">IFERROR(N33/M33,"n/a")</f>
        <v>0.854380650575463</v>
      </c>
      <c r="Q33" s="69" t="n">
        <f aca="false">IFERROR(N33/$C$3,0)</f>
        <v>0.00959986013816783</v>
      </c>
      <c r="R33" s="69" t="n">
        <f aca="false">IFERROR(O33/$D$4,0)</f>
        <v>-0.00411524035889299</v>
      </c>
      <c r="S33" s="78" t="n">
        <f aca="false">IFERROR((Q33+R33)/2,0)</f>
        <v>0.00274230988963742</v>
      </c>
      <c r="T33" s="79"/>
      <c r="U33" s="40" t="n">
        <f aca="false">IFERROR(POWER(K33/C33,1/8)-1,"n/a")</f>
        <v>0.0934633190878673</v>
      </c>
      <c r="V33" s="41" t="n">
        <f aca="false">IFERROR(POWER(K33/H33,1/3)-1,"n/a")</f>
        <v>0.779001390613632</v>
      </c>
      <c r="W33" s="42" t="n">
        <f aca="false">IFERROR(V33-U33,"n/a")</f>
        <v>0.685538071525764</v>
      </c>
      <c r="X33" s="43" t="n">
        <f aca="false">IFERROR(SLOPE(C33:K33,{1,2,3,4,5,6,7,8,9})/AVERAGEIF(C33:K33,"&gt;0"),"n/a")</f>
        <v>0.00237982151589593</v>
      </c>
      <c r="Y33" s="43" t="n">
        <f aca="false">IFERROR(SLOPE(H33:K33,{1,2,3,4})/AVERAGEIF(H33:K33,"&gt;0"),"n/a")</f>
        <v>0.540540767109107</v>
      </c>
      <c r="Z33" s="45" t="n">
        <f aca="false">IFERROR(H33/G33,"n/a")</f>
        <v>0.411644573002076</v>
      </c>
      <c r="AA33" s="45" t="n">
        <f aca="false">IFERROR(H33/F33,"n/a")</f>
        <v>0.316116205504354</v>
      </c>
      <c r="AB33" s="45" t="n">
        <v>0.99737041084652</v>
      </c>
      <c r="AC33" s="47" t="s">
        <v>80</v>
      </c>
      <c r="AD33" s="48" t="n">
        <v>0.025</v>
      </c>
      <c r="AE33" s="49" t="s">
        <v>81</v>
      </c>
    </row>
    <row r="34" customFormat="false" ht="16.5" hidden="false" customHeight="true" outlineLevel="0" collapsed="false">
      <c r="A34" s="83" t="s">
        <v>117</v>
      </c>
      <c r="B34" s="84" t="s">
        <v>118</v>
      </c>
      <c r="C34" s="30" t="n">
        <v>943028</v>
      </c>
      <c r="D34" s="30" t="n">
        <v>442727</v>
      </c>
      <c r="E34" s="30" t="n">
        <v>22981</v>
      </c>
      <c r="F34" s="30" t="n">
        <v>128938</v>
      </c>
      <c r="G34" s="30" t="n">
        <v>26692</v>
      </c>
      <c r="H34" s="31" t="n">
        <v>194461</v>
      </c>
      <c r="I34" s="31" t="n">
        <v>35723</v>
      </c>
      <c r="J34" s="31" t="n">
        <v>172857</v>
      </c>
      <c r="K34" s="31" t="n">
        <v>406012</v>
      </c>
      <c r="L34" s="32" t="n">
        <v>283805</v>
      </c>
      <c r="M34" s="33" t="n">
        <f aca="false">IFERROR(AVERAGEIF(C34:G34,"&gt;0"),0)</f>
        <v>312873.2</v>
      </c>
      <c r="N34" s="34" t="n">
        <f aca="false">IFERROR(AVERAGEIF(H34:K34,"&gt;0"),0)</f>
        <v>202263.25</v>
      </c>
      <c r="O34" s="76" t="n">
        <f aca="false">N34-M34</f>
        <v>-110609.95</v>
      </c>
      <c r="P34" s="77" t="n">
        <f aca="false">IFERROR(N34/M34,"n/a")</f>
        <v>0.646470359238183</v>
      </c>
      <c r="Q34" s="69" t="n">
        <f aca="false">IFERROR(N34/$C$3,0)</f>
        <v>0.00182891390558984</v>
      </c>
      <c r="R34" s="69" t="n">
        <f aca="false">IFERROR(O34/$D$4,0)</f>
        <v>-0.00251555081574143</v>
      </c>
      <c r="S34" s="78" t="n">
        <f aca="false">IFERROR((Q34+R34)/2,0)</f>
        <v>-0.000343318455075794</v>
      </c>
      <c r="T34" s="79"/>
      <c r="U34" s="58" t="n">
        <f aca="false">IFERROR(POWER(K34/C34,1/8)-1,"n/a")</f>
        <v>-0.0999807773231082</v>
      </c>
      <c r="V34" s="41" t="n">
        <f aca="false">IFERROR(POWER(K34/H34,1/3)-1,"n/a")</f>
        <v>0.278111625026141</v>
      </c>
      <c r="W34" s="42" t="n">
        <f aca="false">IFERROR(V34-U34,"n/a")</f>
        <v>0.378092402349249</v>
      </c>
      <c r="X34" s="59" t="n">
        <f aca="false">IFERROR(SLOPE(C34:K34,{1,2,3,4,5,6,7,8,9})/AVERAGEIF(C34:K34,"&gt;0"),"n/a")</f>
        <v>-0.181173256808006</v>
      </c>
      <c r="Y34" s="43" t="n">
        <f aca="false">IFERROR(SLOPE(H34:K34,{1,2,3,4})/AVERAGEIF(H34:K34,"&gt;0"),"n/a")</f>
        <v>0.381575496290107</v>
      </c>
      <c r="Z34" s="54" t="n">
        <f aca="false">IFERROR(H34/G34,"n/a")</f>
        <v>7.28536640191818</v>
      </c>
      <c r="AA34" s="67" t="n">
        <f aca="false">IFERROR(H34/F34,"n/a")</f>
        <v>1.5081744714514</v>
      </c>
      <c r="AB34" s="45" t="n">
        <v>0.908629389339553</v>
      </c>
      <c r="AC34" s="47" t="s">
        <v>97</v>
      </c>
      <c r="AD34" s="48" t="n">
        <v>0.035</v>
      </c>
      <c r="AE34" s="49" t="s">
        <v>98</v>
      </c>
    </row>
    <row r="35" customFormat="false" ht="16.5" hidden="false" customHeight="true" outlineLevel="0" collapsed="false">
      <c r="A35" s="83" t="s">
        <v>119</v>
      </c>
      <c r="B35" s="84" t="s">
        <v>120</v>
      </c>
      <c r="C35" s="30" t="n">
        <v>429055</v>
      </c>
      <c r="D35" s="30" t="n">
        <v>253601</v>
      </c>
      <c r="E35" s="30" t="n">
        <v>176950</v>
      </c>
      <c r="F35" s="30" t="n">
        <v>258012</v>
      </c>
      <c r="G35" s="30" t="n">
        <v>175125</v>
      </c>
      <c r="H35" s="31" t="n">
        <v>184271</v>
      </c>
      <c r="I35" s="31" t="n">
        <v>148224</v>
      </c>
      <c r="J35" s="31" t="n">
        <v>213774</v>
      </c>
      <c r="K35" s="31" t="n">
        <v>241486</v>
      </c>
      <c r="L35" s="32" t="n">
        <v>191436</v>
      </c>
      <c r="M35" s="33" t="n">
        <f aca="false">IFERROR(AVERAGEIF(C35:G35,"&gt;0"),0)</f>
        <v>258548.6</v>
      </c>
      <c r="N35" s="34" t="n">
        <f aca="false">IFERROR(AVERAGEIF(H35:K35,"&gt;0"),0)</f>
        <v>196938.75</v>
      </c>
      <c r="O35" s="76" t="n">
        <f aca="false">N35-M35</f>
        <v>-61609.85</v>
      </c>
      <c r="P35" s="77" t="n">
        <f aca="false">IFERROR(N35/M35,"n/a")</f>
        <v>0.761708823795604</v>
      </c>
      <c r="Q35" s="69" t="n">
        <f aca="false">IFERROR(N35/$C$3,0)</f>
        <v>0.00178076847091343</v>
      </c>
      <c r="R35" s="69" t="n">
        <f aca="false">IFERROR(O35/$D$4,0)</f>
        <v>-0.00140116425715053</v>
      </c>
      <c r="S35" s="78" t="n">
        <f aca="false">IFERROR((Q35+R35)/2,0)</f>
        <v>0.000189802106881451</v>
      </c>
      <c r="T35" s="79"/>
      <c r="U35" s="58" t="n">
        <f aca="false">IFERROR(POWER(K35/C35,1/8)-1,"n/a")</f>
        <v>-0.0693264446640598</v>
      </c>
      <c r="V35" s="40" t="n">
        <f aca="false">IFERROR(POWER(K35/H35,1/3)-1,"n/a")</f>
        <v>0.0943216425205482</v>
      </c>
      <c r="W35" s="42" t="n">
        <f aca="false">IFERROR(V35-U35,"n/a")</f>
        <v>0.163648087184608</v>
      </c>
      <c r="X35" s="59" t="n">
        <f aca="false">IFERROR(SLOPE(C35:K35,{1,2,3,4,5,6,7,8,9})/AVERAGEIF(C35:K35,"&gt;0"),"n/a")</f>
        <v>-0.0721666158775447</v>
      </c>
      <c r="Y35" s="43" t="n">
        <f aca="false">IFERROR(SLOPE(H35:K35,{1,2,3,4})/AVERAGEIF(H35:K35,"&gt;0"),"n/a")</f>
        <v>0.120441000057124</v>
      </c>
      <c r="Z35" s="44" t="n">
        <f aca="false">IFERROR(H35/G35,"n/a")</f>
        <v>1.0522255531763</v>
      </c>
      <c r="AA35" s="45" t="n">
        <f aca="false">IFERROR(H35/F35,"n/a")</f>
        <v>0.714195463776879</v>
      </c>
      <c r="AB35" s="56" t="n">
        <v>1.1013204189966</v>
      </c>
      <c r="AC35" s="47" t="s">
        <v>121</v>
      </c>
      <c r="AD35" s="48" t="n">
        <v>0.05</v>
      </c>
      <c r="AE35" s="49" t="s">
        <v>122</v>
      </c>
    </row>
    <row r="36" customFormat="false" ht="16.5" hidden="false" customHeight="true" outlineLevel="0" collapsed="false">
      <c r="A36" s="83" t="s">
        <v>123</v>
      </c>
      <c r="B36" s="84" t="s">
        <v>124</v>
      </c>
      <c r="C36" s="30" t="n">
        <v>35488</v>
      </c>
      <c r="D36" s="30" t="n">
        <v>40394</v>
      </c>
      <c r="E36" s="30" t="n">
        <v>144256</v>
      </c>
      <c r="F36" s="30" t="n">
        <v>116008</v>
      </c>
      <c r="G36" s="30" t="n">
        <v>158519</v>
      </c>
      <c r="H36" s="31" t="n">
        <v>138185</v>
      </c>
      <c r="I36" s="31" t="n">
        <v>71866</v>
      </c>
      <c r="J36" s="31" t="n">
        <v>75674</v>
      </c>
      <c r="K36" s="31" t="n">
        <v>68121</v>
      </c>
      <c r="L36" s="32" t="n">
        <v>65009</v>
      </c>
      <c r="M36" s="33" t="n">
        <f aca="false">IFERROR(AVERAGEIF(C36:G36,"&gt;0"),0)</f>
        <v>98933</v>
      </c>
      <c r="N36" s="34" t="n">
        <f aca="false">IFERROR(AVERAGEIF(H36:K36,"&gt;0"),0)</f>
        <v>88461.5</v>
      </c>
      <c r="O36" s="76" t="n">
        <f aca="false">N36-M36</f>
        <v>-10471.5</v>
      </c>
      <c r="P36" s="77" t="n">
        <f aca="false">IFERROR(N36/M36,"n/a")</f>
        <v>0.894155640686121</v>
      </c>
      <c r="Q36" s="69" t="n">
        <f aca="false">IFERROR(N36/$C$3,0)</f>
        <v>0.000799890575570873</v>
      </c>
      <c r="R36" s="69" t="n">
        <f aca="false">IFERROR(O36/$D$4,0)</f>
        <v>-0.000238148470070155</v>
      </c>
      <c r="S36" s="78" t="n">
        <f aca="false">IFERROR((Q36+R36)/2,0)</f>
        <v>0.000280871052750359</v>
      </c>
      <c r="T36" s="79"/>
      <c r="U36" s="40" t="n">
        <f aca="false">IFERROR(POWER(K36/C36,1/8)-1,"n/a")</f>
        <v>0.0849255483024156</v>
      </c>
      <c r="V36" s="58" t="n">
        <f aca="false">IFERROR(POWER(K36/H36,1/3)-1,"n/a")</f>
        <v>-0.210037084590978</v>
      </c>
      <c r="W36" s="53" t="n">
        <f aca="false">IFERROR(V36-U36,"n/a")</f>
        <v>-0.294962632893394</v>
      </c>
      <c r="X36" s="43" t="n">
        <f aca="false">IFERROR(SLOPE(C36:K36,{1,2,3,4,5,6,7,8,9})/AVERAGEIF(C36:K36,"&gt;0"),"n/a")</f>
        <v>0.020112114044485</v>
      </c>
      <c r="Y36" s="59" t="n">
        <f aca="false">IFERROR(SLOPE(H36:K36,{1,2,3,4})/AVERAGEIF(H36:K36,"&gt;0"),"n/a")</f>
        <v>-0.233303753610328</v>
      </c>
      <c r="Z36" s="45" t="n">
        <f aca="false">IFERROR(H36/G36,"n/a")</f>
        <v>0.871725155974994</v>
      </c>
      <c r="AA36" s="45" t="n">
        <f aca="false">IFERROR(H36/F36,"n/a")</f>
        <v>1.19116785049307</v>
      </c>
      <c r="AB36" s="46" t="n">
        <v>0.450934398956985</v>
      </c>
      <c r="AC36" s="47" t="s">
        <v>125</v>
      </c>
      <c r="AD36" s="48" t="n">
        <v>0.06</v>
      </c>
      <c r="AE36" s="49" t="s">
        <v>126</v>
      </c>
    </row>
    <row r="37" customFormat="false" ht="16.5" hidden="false" customHeight="true" outlineLevel="0" collapsed="false">
      <c r="A37" s="83" t="s">
        <v>127</v>
      </c>
      <c r="B37" s="84" t="s">
        <v>128</v>
      </c>
      <c r="C37" s="30" t="n">
        <v>47143</v>
      </c>
      <c r="D37" s="30" t="n">
        <v>711971</v>
      </c>
      <c r="E37" s="30" t="n">
        <v>354063</v>
      </c>
      <c r="F37" s="30" t="n">
        <v>347060</v>
      </c>
      <c r="G37" s="30" t="n">
        <v>481518</v>
      </c>
      <c r="H37" s="31" t="n">
        <v>64781</v>
      </c>
      <c r="I37" s="31" t="n">
        <v>271403</v>
      </c>
      <c r="J37" s="31" t="n">
        <v>4849</v>
      </c>
      <c r="K37" s="31" t="n">
        <v>8499</v>
      </c>
      <c r="L37" s="32" t="n">
        <v>7001</v>
      </c>
      <c r="M37" s="33" t="n">
        <f aca="false">IFERROR(AVERAGEIF(C37:G37,"&gt;0"),0)</f>
        <v>388351</v>
      </c>
      <c r="N37" s="34" t="n">
        <f aca="false">IFERROR(AVERAGEIF(H37:K37,"&gt;0"),0)</f>
        <v>87383</v>
      </c>
      <c r="O37" s="76" t="n">
        <f aca="false">N37-M37</f>
        <v>-300968</v>
      </c>
      <c r="P37" s="77" t="n">
        <f aca="false">IFERROR(N37/M37,"n/a")</f>
        <v>0.225010364335356</v>
      </c>
      <c r="Q37" s="69" t="n">
        <f aca="false">IFERROR(N37/$C$3,0)</f>
        <v>0.000790138514100593</v>
      </c>
      <c r="R37" s="69" t="n">
        <f aca="false">IFERROR(O37/$D$4,0)</f>
        <v>-0.00684477569976359</v>
      </c>
      <c r="S37" s="78" t="n">
        <f aca="false">IFERROR((Q37+R37)/2,0)</f>
        <v>-0.0030273185928315</v>
      </c>
      <c r="T37" s="79"/>
      <c r="U37" s="58" t="n">
        <f aca="false">IFERROR(POWER(K37/C37,1/8)-1,"n/a")</f>
        <v>-0.19277644421281</v>
      </c>
      <c r="V37" s="58" t="n">
        <f aca="false">IFERROR(POWER(K37/H37,1/3)-1,"n/a")</f>
        <v>-0.491871687849324</v>
      </c>
      <c r="W37" s="53" t="n">
        <f aca="false">IFERROR(V37-U37,"n/a")</f>
        <v>-0.299095243636514</v>
      </c>
      <c r="X37" s="59" t="n">
        <f aca="false">IFERROR(SLOPE(C37:K37,{1,2,3,4,5,6,7,8,9})/AVERAGEIF(C37:K37,"&gt;0"),"n/a")</f>
        <v>-0.178297677244274</v>
      </c>
      <c r="Y37" s="59" t="n">
        <f aca="false">IFERROR(SLOPE(H37:K37,{1,2,3,4})/AVERAGEIF(H37:K37,"&gt;0"),"n/a")</f>
        <v>-0.49826625316137</v>
      </c>
      <c r="Z37" s="45" t="n">
        <f aca="false">IFERROR(H37/G37,"n/a")</f>
        <v>0.134534949887647</v>
      </c>
      <c r="AA37" s="45" t="n">
        <f aca="false">IFERROR(H37/F37,"n/a")</f>
        <v>0.186656485910217</v>
      </c>
      <c r="AB37" s="45" t="n">
        <v>0.909791759648139</v>
      </c>
      <c r="AC37" s="47" t="s">
        <v>97</v>
      </c>
      <c r="AD37" s="48" t="n">
        <v>0.035</v>
      </c>
      <c r="AE37" s="49" t="s">
        <v>98</v>
      </c>
    </row>
    <row r="38" customFormat="false" ht="16.5" hidden="false" customHeight="true" outlineLevel="0" collapsed="false">
      <c r="A38" s="83" t="s">
        <v>129</v>
      </c>
      <c r="B38" s="84" t="s">
        <v>130</v>
      </c>
      <c r="C38" s="30" t="n">
        <v>89403</v>
      </c>
      <c r="D38" s="30" t="n">
        <v>57995</v>
      </c>
      <c r="E38" s="30" t="n">
        <v>73611</v>
      </c>
      <c r="F38" s="30" t="n">
        <v>73510</v>
      </c>
      <c r="G38" s="30" t="n">
        <v>67667</v>
      </c>
      <c r="H38" s="31" t="n">
        <v>47856</v>
      </c>
      <c r="I38" s="31" t="n">
        <v>80254</v>
      </c>
      <c r="J38" s="31" t="n">
        <v>82275</v>
      </c>
      <c r="K38" s="31" t="n">
        <v>77802</v>
      </c>
      <c r="L38" s="32" t="n">
        <v>136363</v>
      </c>
      <c r="M38" s="33" t="n">
        <f aca="false">IFERROR(AVERAGEIF(C38:G38,"&gt;0"),0)</f>
        <v>72437.2</v>
      </c>
      <c r="N38" s="34" t="n">
        <f aca="false">IFERROR(AVERAGEIF(H38:K38,"&gt;0"),0)</f>
        <v>72046.75</v>
      </c>
      <c r="O38" s="76" t="n">
        <f aca="false">N38-M38</f>
        <v>-390.449999999997</v>
      </c>
      <c r="P38" s="77" t="n">
        <f aca="false">IFERROR(N38/M38,"n/a")</f>
        <v>0.99460981374211</v>
      </c>
      <c r="Q38" s="69" t="n">
        <f aca="false">IFERROR(N38/$C$3,0)</f>
        <v>0.000651464380838114</v>
      </c>
      <c r="R38" s="69" t="n">
        <f aca="false">IFERROR(O38/$D$4,0)</f>
        <v>-8.87982334325467E-006</v>
      </c>
      <c r="S38" s="78" t="n">
        <f aca="false">IFERROR((Q38+R38)/2,0)</f>
        <v>0.00032129227874743</v>
      </c>
      <c r="T38" s="79"/>
      <c r="U38" s="58" t="n">
        <f aca="false">IFERROR(POWER(K38/C38,1/8)-1,"n/a")</f>
        <v>-0.0172233405087999</v>
      </c>
      <c r="V38" s="40" t="n">
        <f aca="false">IFERROR(POWER(K38/H38,1/3)-1,"n/a")</f>
        <v>0.175848732020915</v>
      </c>
      <c r="W38" s="42" t="n">
        <f aca="false">IFERROR(V38-U38,"n/a")</f>
        <v>0.193072072529715</v>
      </c>
      <c r="X38" s="43" t="n">
        <f aca="false">IFERROR(SLOPE(C38:K38,{1,2,3,4,5,6,7,8,9})/AVERAGEIF(C38:K38,"&gt;0"),"n/a")</f>
        <v>0.00324459963743882</v>
      </c>
      <c r="Y38" s="43" t="n">
        <f aca="false">IFERROR(SLOPE(H38:K38,{1,2,3,4})/AVERAGEIF(H38:K38,"&gt;0"),"n/a")</f>
        <v>0.127499158532481</v>
      </c>
      <c r="Z38" s="45" t="n">
        <f aca="false">IFERROR(H38/G38,"n/a")</f>
        <v>0.70722804321161</v>
      </c>
      <c r="AA38" s="45" t="n">
        <f aca="false">IFERROR(H38/F38,"n/a")</f>
        <v>0.651013467555435</v>
      </c>
      <c r="AB38" s="56" t="n">
        <v>1.36357758446194</v>
      </c>
      <c r="AC38" s="47" t="s">
        <v>131</v>
      </c>
      <c r="AD38" s="48" t="n">
        <v>0.03</v>
      </c>
      <c r="AE38" s="49" t="s">
        <v>132</v>
      </c>
    </row>
    <row r="39" customFormat="false" ht="16.5" hidden="false" customHeight="true" outlineLevel="0" collapsed="false">
      <c r="A39" s="83" t="s">
        <v>133</v>
      </c>
      <c r="B39" s="84" t="s">
        <v>134</v>
      </c>
      <c r="C39" s="30" t="n">
        <v>39692</v>
      </c>
      <c r="D39" s="30" t="n">
        <v>62359</v>
      </c>
      <c r="E39" s="30" t="n">
        <v>38469</v>
      </c>
      <c r="F39" s="30" t="n">
        <v>108369</v>
      </c>
      <c r="G39" s="30" t="n">
        <v>86321</v>
      </c>
      <c r="H39" s="31" t="n">
        <v>65117</v>
      </c>
      <c r="I39" s="31" t="n">
        <v>39253</v>
      </c>
      <c r="J39" s="31" t="n">
        <v>28557</v>
      </c>
      <c r="K39" s="31" t="n">
        <v>34999</v>
      </c>
      <c r="L39" s="32" t="n">
        <v>47030</v>
      </c>
      <c r="M39" s="33" t="n">
        <f aca="false">IFERROR(AVERAGEIF(C39:G39,"&gt;0"),0)</f>
        <v>67042</v>
      </c>
      <c r="N39" s="34" t="n">
        <f aca="false">IFERROR(AVERAGEIF(H39:K39,"&gt;0"),0)</f>
        <v>41981.5</v>
      </c>
      <c r="O39" s="76" t="n">
        <f aca="false">N39-M39</f>
        <v>-25060.5</v>
      </c>
      <c r="P39" s="77" t="n">
        <f aca="false">IFERROR(N39/M39,"n/a")</f>
        <v>0.626197010829033</v>
      </c>
      <c r="Q39" s="69" t="n">
        <f aca="false">IFERROR(N39/$C$3,0)</f>
        <v>0.000379607017723288</v>
      </c>
      <c r="R39" s="69" t="n">
        <f aca="false">IFERROR(O39/$D$4,0)</f>
        <v>-0.000569939333829262</v>
      </c>
      <c r="S39" s="78" t="n">
        <f aca="false">IFERROR((Q39+R39)/2,0)</f>
        <v>-9.51661580529872E-005</v>
      </c>
      <c r="T39" s="79"/>
      <c r="U39" s="58" t="n">
        <f aca="false">IFERROR(POWER(K39/C39,1/8)-1,"n/a")</f>
        <v>-0.0156057196768415</v>
      </c>
      <c r="V39" s="58" t="n">
        <f aca="false">IFERROR(POWER(K39/H39,1/3)-1,"n/a")</f>
        <v>-0.186944078278667</v>
      </c>
      <c r="W39" s="53" t="n">
        <f aca="false">IFERROR(V39-U39,"n/a")</f>
        <v>-0.171338358601826</v>
      </c>
      <c r="X39" s="59" t="n">
        <f aca="false">IFERROR(SLOPE(C39:K39,{1,2,3,4,5,6,7,8,9})/AVERAGEIF(C39:K39,"&gt;0"),"n/a")</f>
        <v>-0.0482559387521465</v>
      </c>
      <c r="Y39" s="59" t="n">
        <f aca="false">IFERROR(SLOPE(H39:K39,{1,2,3,4})/AVERAGEIF(H39:K39,"&gt;0"),"n/a")</f>
        <v>-0.240701261269845</v>
      </c>
      <c r="Z39" s="45" t="n">
        <f aca="false">IFERROR(H39/G39,"n/a")</f>
        <v>0.754358730783934</v>
      </c>
      <c r="AA39" s="45" t="n">
        <f aca="false">IFERROR(H39/F39,"n/a")</f>
        <v>0.600882171100592</v>
      </c>
      <c r="AB39" s="56" t="n">
        <v>1.98799471195646</v>
      </c>
      <c r="AC39" s="47" t="s">
        <v>135</v>
      </c>
      <c r="AD39" s="65" t="n">
        <v>0.25</v>
      </c>
      <c r="AE39" s="66" t="s">
        <v>136</v>
      </c>
    </row>
    <row r="40" customFormat="false" ht="16.5" hidden="false" customHeight="true" outlineLevel="0" collapsed="false">
      <c r="A40" s="83" t="s">
        <v>137</v>
      </c>
      <c r="B40" s="84" t="s">
        <v>138</v>
      </c>
      <c r="C40" s="30" t="n">
        <v>37670</v>
      </c>
      <c r="D40" s="30" t="n">
        <v>38538</v>
      </c>
      <c r="E40" s="30" t="n">
        <v>45718</v>
      </c>
      <c r="F40" s="30" t="n">
        <v>41704</v>
      </c>
      <c r="G40" s="30" t="n">
        <v>50679</v>
      </c>
      <c r="H40" s="31" t="n">
        <v>53739</v>
      </c>
      <c r="I40" s="31" t="n">
        <v>41151</v>
      </c>
      <c r="J40" s="31" t="n">
        <v>26627</v>
      </c>
      <c r="K40" s="31" t="n">
        <v>14273</v>
      </c>
      <c r="L40" s="32" t="n">
        <v>38062</v>
      </c>
      <c r="M40" s="33" t="n">
        <f aca="false">IFERROR(AVERAGEIF(C40:G40,"&gt;0"),0)</f>
        <v>42861.8</v>
      </c>
      <c r="N40" s="34" t="n">
        <f aca="false">IFERROR(AVERAGEIF(H40:K40,"&gt;0"),0)</f>
        <v>33947.5</v>
      </c>
      <c r="O40" s="76" t="n">
        <f aca="false">N40-M40</f>
        <v>-8914.3</v>
      </c>
      <c r="P40" s="77" t="n">
        <f aca="false">IFERROR(N40/M40,"n/a")</f>
        <v>0.792022266913662</v>
      </c>
      <c r="Q40" s="69" t="n">
        <f aca="false">IFERROR(N40/$C$3,0)</f>
        <v>0.000306961619622007</v>
      </c>
      <c r="R40" s="69" t="n">
        <f aca="false">IFERROR(O40/$D$4,0)</f>
        <v>-0.000202733792364645</v>
      </c>
      <c r="S40" s="78" t="n">
        <f aca="false">IFERROR((Q40+R40)/2,0)</f>
        <v>5.21139136286811E-005</v>
      </c>
      <c r="T40" s="79"/>
      <c r="U40" s="58" t="n">
        <f aca="false">IFERROR(POWER(K40/C40,1/8)-1,"n/a")</f>
        <v>-0.114242260632988</v>
      </c>
      <c r="V40" s="58" t="n">
        <f aca="false">IFERROR(POWER(K40/H40,1/3)-1,"n/a")</f>
        <v>-0.357200946821656</v>
      </c>
      <c r="W40" s="53" t="n">
        <f aca="false">IFERROR(V40-U40,"n/a")</f>
        <v>-0.242958686188667</v>
      </c>
      <c r="X40" s="59" t="n">
        <f aca="false">IFERROR(SLOPE(C40:K40,{1,2,3,4,5,6,7,8,9})/AVERAGEIF(C40:K40,"&gt;0"),"n/a")</f>
        <v>-0.0541646791336165</v>
      </c>
      <c r="Y40" s="59" t="n">
        <f aca="false">IFERROR(SLOPE(H40:K40,{1,2,3,4})/AVERAGEIF(H40:K40,"&gt;0"),"n/a")</f>
        <v>-0.391551660652478</v>
      </c>
      <c r="Z40" s="44" t="n">
        <f aca="false">IFERROR(H40/G40,"n/a")</f>
        <v>1.06038003906944</v>
      </c>
      <c r="AA40" s="45" t="n">
        <f aca="false">IFERROR(H40/F40,"n/a")</f>
        <v>1.28858143103779</v>
      </c>
      <c r="AB40" s="46" t="n">
        <v>0.660235167047156</v>
      </c>
      <c r="AC40" s="85" t="s">
        <v>139</v>
      </c>
      <c r="AD40" s="86" t="s">
        <v>140</v>
      </c>
      <c r="AE40" s="86" t="s">
        <v>84</v>
      </c>
    </row>
    <row r="41" customFormat="false" ht="16.5" hidden="false" customHeight="true" outlineLevel="0" collapsed="false">
      <c r="A41" s="83" t="s">
        <v>141</v>
      </c>
      <c r="B41" s="84" t="s">
        <v>142</v>
      </c>
      <c r="C41" s="30" t="n">
        <v>39104</v>
      </c>
      <c r="D41" s="30" t="n">
        <v>49790</v>
      </c>
      <c r="E41" s="30" t="n">
        <v>85326</v>
      </c>
      <c r="F41" s="30" t="n">
        <v>81185</v>
      </c>
      <c r="G41" s="30" t="n">
        <v>46789</v>
      </c>
      <c r="H41" s="31" t="n">
        <v>56798</v>
      </c>
      <c r="I41" s="31" t="n">
        <v>31023</v>
      </c>
      <c r="J41" s="31" t="n">
        <v>23209</v>
      </c>
      <c r="K41" s="31" t="n">
        <v>20350</v>
      </c>
      <c r="L41" s="32" t="n">
        <v>19991</v>
      </c>
      <c r="M41" s="33" t="n">
        <f aca="false">IFERROR(AVERAGEIF(C41:G41,"&gt;0"),0)</f>
        <v>60438.8</v>
      </c>
      <c r="N41" s="34" t="n">
        <f aca="false">IFERROR(AVERAGEIF(H41:K41,"&gt;0"),0)</f>
        <v>32845</v>
      </c>
      <c r="O41" s="76" t="n">
        <f aca="false">N41-M41</f>
        <v>-27593.8</v>
      </c>
      <c r="P41" s="77" t="n">
        <f aca="false">IFERROR(N41/M41,"n/a")</f>
        <v>0.543442292037565</v>
      </c>
      <c r="Q41" s="69" t="n">
        <f aca="false">IFERROR(N41/$C$3,0)</f>
        <v>0.000296992544266436</v>
      </c>
      <c r="R41" s="69" t="n">
        <f aca="false">IFERROR(O41/$D$4,0)</f>
        <v>-0.000627553001329498</v>
      </c>
      <c r="S41" s="78" t="n">
        <f aca="false">IFERROR((Q41+R41)/2,0)</f>
        <v>-0.000165280228531531</v>
      </c>
      <c r="T41" s="79"/>
      <c r="U41" s="58" t="n">
        <f aca="false">IFERROR(POWER(K41/C41,1/8)-1,"n/a")</f>
        <v>-0.0783990714110906</v>
      </c>
      <c r="V41" s="58" t="n">
        <f aca="false">IFERROR(POWER(K41/H41,1/3)-1,"n/a")</f>
        <v>-0.289751284890201</v>
      </c>
      <c r="W41" s="53" t="n">
        <f aca="false">IFERROR(V41-U41,"n/a")</f>
        <v>-0.21135221347911</v>
      </c>
      <c r="X41" s="59" t="n">
        <f aca="false">IFERROR(SLOPE(C41:K41,{1,2,3,4,5,6,7,8,9})/AVERAGEIF(C41:K41,"&gt;0"),"n/a")</f>
        <v>-0.0995511723488955</v>
      </c>
      <c r="Y41" s="59" t="n">
        <f aca="false">IFERROR(SLOPE(H41:K41,{1,2,3,4})/AVERAGEIF(H41:K41,"&gt;0"),"n/a")</f>
        <v>-0.356699649870604</v>
      </c>
      <c r="Z41" s="44" t="n">
        <f aca="false">IFERROR(H41/G41,"n/a")</f>
        <v>1.21391780119259</v>
      </c>
      <c r="AA41" s="45" t="n">
        <f aca="false">IFERROR(H41/F41,"n/a")</f>
        <v>0.69961199729014</v>
      </c>
      <c r="AB41" s="56" t="n">
        <v>1.52732531587761</v>
      </c>
      <c r="AC41" s="47" t="s">
        <v>121</v>
      </c>
      <c r="AD41" s="48" t="n">
        <v>0.05</v>
      </c>
      <c r="AE41" s="49" t="s">
        <v>122</v>
      </c>
    </row>
    <row r="42" customFormat="false" ht="16.5" hidden="false" customHeight="true" outlineLevel="0" collapsed="false">
      <c r="A42" s="83" t="s">
        <v>143</v>
      </c>
      <c r="B42" s="84" t="s">
        <v>144</v>
      </c>
      <c r="C42" s="50" t="s">
        <v>84</v>
      </c>
      <c r="D42" s="50" t="s">
        <v>84</v>
      </c>
      <c r="E42" s="50" t="s">
        <v>84</v>
      </c>
      <c r="F42" s="50" t="s">
        <v>84</v>
      </c>
      <c r="G42" s="50" t="s">
        <v>84</v>
      </c>
      <c r="H42" s="31" t="n">
        <v>9187</v>
      </c>
      <c r="I42" s="31" t="n">
        <v>42409</v>
      </c>
      <c r="J42" s="31" t="n">
        <v>66342</v>
      </c>
      <c r="K42" s="31" t="n">
        <v>8220</v>
      </c>
      <c r="L42" s="32" t="n">
        <v>31111</v>
      </c>
      <c r="M42" s="33" t="n">
        <f aca="false">IFERROR(AVERAGEIF(C42:G42,"&gt;0"),0)</f>
        <v>0</v>
      </c>
      <c r="N42" s="34" t="n">
        <f aca="false">IFERROR(AVERAGEIF(H42:K42,"&gt;0"),0)</f>
        <v>31539.5</v>
      </c>
      <c r="O42" s="87" t="n">
        <f aca="false">N42-M42</f>
        <v>31539.5</v>
      </c>
      <c r="P42" s="77" t="str">
        <f aca="false">IFERROR(N42/M42,"n/a")</f>
        <v>n/a</v>
      </c>
      <c r="Q42" s="69" t="n">
        <f aca="false">IFERROR(N42/$C$3,0)</f>
        <v>0.000285187893131108</v>
      </c>
      <c r="R42" s="69" t="n">
        <f aca="false">IFERROR(O42/$D$4,0)</f>
        <v>0.000717288227262346</v>
      </c>
      <c r="S42" s="78" t="n">
        <f aca="false">IFERROR((Q42+R42)/2,0)</f>
        <v>0.000501238060196727</v>
      </c>
      <c r="T42" s="79"/>
      <c r="U42" s="58" t="str">
        <f aca="false">IFERROR(POWER(K42/C42,1/8)-1,"n/a")</f>
        <v>n/a</v>
      </c>
      <c r="V42" s="58" t="n">
        <f aca="false">IFERROR(POWER(K42/H42,1/3)-1,"n/a")</f>
        <v>-0.0363942850310822</v>
      </c>
      <c r="W42" s="71" t="str">
        <f aca="false">IFERROR(V42-U42,"n/a")</f>
        <v>n/a</v>
      </c>
      <c r="X42" s="43" t="n">
        <f aca="false">IFERROR(SLOPE(C42:K42,{1,2,3,4,5,6,7,8,9})/AVERAGEIF(C42:K42,"&gt;0"),"n/a")</f>
        <v>0.0666846335547488</v>
      </c>
      <c r="Y42" s="43" t="n">
        <f aca="false">IFERROR(SLOPE(H42:K42,{1,2,3,4})/AVERAGEIF(H42:K42,"&gt;0"),"n/a")</f>
        <v>0.0666846335547488</v>
      </c>
      <c r="Z42" s="45" t="str">
        <f aca="false">IFERROR(H42/G42,"n/a")</f>
        <v>n/a</v>
      </c>
      <c r="AA42" s="45" t="str">
        <f aca="false">IFERROR(H42/F42,"n/a")</f>
        <v>n/a</v>
      </c>
      <c r="AB42" s="56" t="n">
        <v>3.00085078499448</v>
      </c>
      <c r="AC42" s="47" t="s">
        <v>135</v>
      </c>
      <c r="AD42" s="65" t="n">
        <v>0.25</v>
      </c>
      <c r="AE42" s="66" t="s">
        <v>136</v>
      </c>
    </row>
    <row r="43" customFormat="false" ht="16.5" hidden="false" customHeight="true" outlineLevel="0" collapsed="false">
      <c r="A43" s="83" t="s">
        <v>145</v>
      </c>
      <c r="B43" s="84" t="s">
        <v>146</v>
      </c>
      <c r="C43" s="50" t="s">
        <v>84</v>
      </c>
      <c r="D43" s="50" t="s">
        <v>84</v>
      </c>
      <c r="E43" s="50" t="s">
        <v>84</v>
      </c>
      <c r="F43" s="50" t="s">
        <v>84</v>
      </c>
      <c r="G43" s="50" t="s">
        <v>84</v>
      </c>
      <c r="H43" s="50" t="s">
        <v>84</v>
      </c>
      <c r="I43" s="50" t="s">
        <v>84</v>
      </c>
      <c r="J43" s="31" t="n">
        <v>17480</v>
      </c>
      <c r="K43" s="31" t="n">
        <v>15000</v>
      </c>
      <c r="L43" s="50" t="s">
        <v>84</v>
      </c>
      <c r="M43" s="33" t="n">
        <f aca="false">IFERROR(AVERAGEIF(C43:G43,"&gt;0"),0)</f>
        <v>0</v>
      </c>
      <c r="N43" s="34" t="n">
        <f aca="false">IFERROR(AVERAGEIF(H43:K43,"&gt;0"),0)</f>
        <v>16240</v>
      </c>
      <c r="O43" s="87" t="n">
        <f aca="false">N43-M43</f>
        <v>16240</v>
      </c>
      <c r="P43" s="77" t="str">
        <f aca="false">IFERROR(N43/M43,"n/a")</f>
        <v>n/a</v>
      </c>
      <c r="Q43" s="69" t="n">
        <f aca="false">IFERROR(N43/$C$3,0)</f>
        <v>0.000146846062380482</v>
      </c>
      <c r="R43" s="69" t="n">
        <f aca="false">IFERROR(O43/$D$4,0)</f>
        <v>0.000369338791380348</v>
      </c>
      <c r="S43" s="78" t="n">
        <f aca="false">IFERROR((Q43+R43)/2,0)</f>
        <v>0.000258092426880415</v>
      </c>
      <c r="T43" s="79"/>
      <c r="U43" s="58" t="str">
        <f aca="false">IFERROR(POWER(K43/C43,1/8)-1,"n/a")</f>
        <v>n/a</v>
      </c>
      <c r="V43" s="58" t="str">
        <f aca="false">IFERROR(POWER(K43/H43,1/3)-1,"n/a")</f>
        <v>n/a</v>
      </c>
      <c r="W43" s="71" t="str">
        <f aca="false">IFERROR(V43-U43,"n/a")</f>
        <v>n/a</v>
      </c>
      <c r="X43" s="88" t="n">
        <f aca="false">IFERROR(SLOPE(C43:K43,{1,2,3,4,5,6,7,8,9})/AVERAGEIF(C43:K43,"&gt;0"),"n/a")</f>
        <v>-0.152709359605911</v>
      </c>
      <c r="Y43" s="88" t="n">
        <f aca="false">IFERROR(SLOPE(H43:K43,{1,2,3,4})/AVERAGEIF(H43:K43,"&gt;0"),"n/a")</f>
        <v>-0.152709359605911</v>
      </c>
      <c r="Z43" s="45" t="str">
        <f aca="false">IFERROR(H43/G43,"n/a")</f>
        <v>n/a</v>
      </c>
      <c r="AA43" s="45" t="str">
        <f aca="false">IFERROR(H43/F43,"n/a")</f>
        <v>n/a</v>
      </c>
      <c r="AB43" s="89" t="s">
        <v>147</v>
      </c>
      <c r="AC43" s="47" t="s">
        <v>148</v>
      </c>
      <c r="AD43" s="48" t="n">
        <v>0.015</v>
      </c>
      <c r="AE43" s="49" t="s">
        <v>149</v>
      </c>
    </row>
    <row r="44" customFormat="false" ht="16.5" hidden="false" customHeight="true" outlineLevel="0" collapsed="false">
      <c r="A44" s="83" t="s">
        <v>150</v>
      </c>
      <c r="B44" s="84" t="s">
        <v>151</v>
      </c>
      <c r="C44" s="30" t="n">
        <v>11687</v>
      </c>
      <c r="D44" s="30" t="n">
        <v>15554</v>
      </c>
      <c r="E44" s="30" t="n">
        <v>8499</v>
      </c>
      <c r="F44" s="30" t="n">
        <v>7316</v>
      </c>
      <c r="G44" s="30" t="n">
        <v>13048</v>
      </c>
      <c r="H44" s="31" t="n">
        <v>7281</v>
      </c>
      <c r="I44" s="31" t="n">
        <v>3675</v>
      </c>
      <c r="J44" s="31" t="n">
        <v>5593</v>
      </c>
      <c r="K44" s="31" t="n">
        <v>3782</v>
      </c>
      <c r="L44" s="32" t="n">
        <v>13875</v>
      </c>
      <c r="M44" s="33" t="n">
        <f aca="false">IFERROR(AVERAGEIF(C44:G44,"&gt;0"),0)</f>
        <v>11220.8</v>
      </c>
      <c r="N44" s="34" t="n">
        <f aca="false">IFERROR(AVERAGEIF(H44:K44,"&gt;0"),0)</f>
        <v>5082.75</v>
      </c>
      <c r="O44" s="76" t="n">
        <f aca="false">N44-M44</f>
        <v>-6138.05</v>
      </c>
      <c r="P44" s="77" t="n">
        <f aca="false">IFERROR(N44/M44,"n/a")</f>
        <v>0.452975723656067</v>
      </c>
      <c r="Q44" s="69" t="n">
        <f aca="false">IFERROR(N44/$C$3,0)</f>
        <v>4.59594718943592E-005</v>
      </c>
      <c r="R44" s="69" t="n">
        <f aca="false">IFERROR(O44/$D$4,0)</f>
        <v>-0.000139594825642374</v>
      </c>
      <c r="S44" s="78" t="n">
        <f aca="false">IFERROR((Q44+R44)/2,0)</f>
        <v>-4.68176768740072E-005</v>
      </c>
      <c r="T44" s="79"/>
      <c r="U44" s="58" t="n">
        <f aca="false">IFERROR(POWER(K44/C44,1/8)-1,"n/a")</f>
        <v>-0.131535021155461</v>
      </c>
      <c r="V44" s="58" t="n">
        <f aca="false">IFERROR(POWER(K44/H44,1/3)-1,"n/a")</f>
        <v>-0.1961466404511</v>
      </c>
      <c r="W44" s="53" t="n">
        <f aca="false">IFERROR(V44-U44,"n/a")</f>
        <v>-0.0646116192956394</v>
      </c>
      <c r="X44" s="59" t="n">
        <f aca="false">IFERROR(SLOPE(C44:K44,{1,2,3,4,5,6,7,8,9})/AVERAGEIF(C44:K44,"&gt;0"),"n/a")</f>
        <v>-0.139699090730686</v>
      </c>
      <c r="Y44" s="59" t="n">
        <f aca="false">IFERROR(SLOPE(H44:K44,{1,2,3,4})/AVERAGEIF(H44:K44,"&gt;0"),"n/a")</f>
        <v>-0.168786582066795</v>
      </c>
      <c r="Z44" s="45" t="n">
        <f aca="false">IFERROR(H44/G44,"n/a")</f>
        <v>0.55801655426119</v>
      </c>
      <c r="AA44" s="45" t="n">
        <f aca="false">IFERROR(H44/F44,"n/a")</f>
        <v>0.995215965008201</v>
      </c>
      <c r="AB44" s="56" t="n">
        <v>1.61874313445805</v>
      </c>
      <c r="AC44" s="47" t="s">
        <v>80</v>
      </c>
      <c r="AD44" s="48" t="n">
        <v>0.025</v>
      </c>
      <c r="AE44" s="49" t="s">
        <v>81</v>
      </c>
    </row>
    <row r="45" customFormat="false" ht="16.5" hidden="false" customHeight="true" outlineLevel="0" collapsed="false">
      <c r="A45" s="83" t="s">
        <v>152</v>
      </c>
      <c r="B45" s="84" t="s">
        <v>153</v>
      </c>
      <c r="C45" s="30" t="n">
        <v>607</v>
      </c>
      <c r="D45" s="30" t="n">
        <v>47814</v>
      </c>
      <c r="E45" s="30" t="n">
        <v>128442</v>
      </c>
      <c r="F45" s="30" t="n">
        <v>125443</v>
      </c>
      <c r="G45" s="30" t="n">
        <v>60114</v>
      </c>
      <c r="H45" s="31" t="n">
        <v>6402</v>
      </c>
      <c r="I45" s="31" t="n">
        <v>6127</v>
      </c>
      <c r="J45" s="31" t="n">
        <v>1443</v>
      </c>
      <c r="K45" s="50" t="s">
        <v>84</v>
      </c>
      <c r="L45" s="32" t="n">
        <v>53403</v>
      </c>
      <c r="M45" s="33" t="n">
        <f aca="false">IFERROR(AVERAGEIF(C45:G45,"&gt;0"),0)</f>
        <v>72484</v>
      </c>
      <c r="N45" s="34" t="n">
        <f aca="false">IFERROR(AVERAGEIF(H45:K45,"&gt;0"),0)</f>
        <v>4657.33333333333</v>
      </c>
      <c r="O45" s="76" t="n">
        <f aca="false">N45-M45</f>
        <v>-67826.6666666667</v>
      </c>
      <c r="P45" s="77" t="n">
        <f aca="false">IFERROR(N45/M45,"n/a")</f>
        <v>0.0642532604896713</v>
      </c>
      <c r="Q45" s="69" t="n">
        <f aca="false">IFERROR(N45/$C$3,0)</f>
        <v>4.21127500734829E-005</v>
      </c>
      <c r="R45" s="69" t="n">
        <f aca="false">IFERROR(O45/$D$4,0)</f>
        <v>-0.00154255043657786</v>
      </c>
      <c r="S45" s="78" t="n">
        <f aca="false">IFERROR((Q45+R45)/2,0)</f>
        <v>-0.000750218843252188</v>
      </c>
      <c r="T45" s="79"/>
      <c r="U45" s="40" t="str">
        <f aca="false">IFERROR(POWER(K45/C45,1/8)-1,"n/a")</f>
        <v>n/a</v>
      </c>
      <c r="V45" s="58" t="str">
        <f aca="false">IFERROR(POWER(K45/H45,1/3)-1,"n/a")</f>
        <v>n/a</v>
      </c>
      <c r="W45" s="53" t="str">
        <f aca="false">IFERROR(V45-U45,"n/a")</f>
        <v>n/a</v>
      </c>
      <c r="X45" s="59" t="n">
        <f aca="false">IFERROR(SLOPE(C45:K45,{1,2,3,4,5,6,7,8,9})/AVERAGEIF(C45:K45,"&gt;0"),"n/a")</f>
        <v>-0.160428489447172</v>
      </c>
      <c r="Y45" s="59" t="n">
        <f aca="false">IFERROR(SLOPE(H45:K45,{1,2,3,4})/AVERAGEIF(H45:K45,"&gt;0"),"n/a")</f>
        <v>-0.532386200973375</v>
      </c>
      <c r="Z45" s="45" t="n">
        <f aca="false">IFERROR(H45/G45,"n/a")</f>
        <v>0.106497654456533</v>
      </c>
      <c r="AA45" s="45" t="n">
        <f aca="false">IFERROR(H45/F45,"n/a")</f>
        <v>0.0510351314939853</v>
      </c>
      <c r="AB45" s="56" t="n">
        <v>11.4664328657315</v>
      </c>
      <c r="AC45" s="47" t="s">
        <v>76</v>
      </c>
      <c r="AD45" s="48" t="n">
        <v>0.04</v>
      </c>
      <c r="AE45" s="49" t="s">
        <v>77</v>
      </c>
    </row>
    <row r="46" customFormat="false" ht="16.5" hidden="false" customHeight="true" outlineLevel="0" collapsed="false">
      <c r="A46" s="83" t="s">
        <v>154</v>
      </c>
      <c r="B46" s="84" t="s">
        <v>155</v>
      </c>
      <c r="C46" s="30" t="n">
        <v>3063</v>
      </c>
      <c r="D46" s="50" t="s">
        <v>84</v>
      </c>
      <c r="E46" s="30" t="n">
        <v>425</v>
      </c>
      <c r="F46" s="30" t="n">
        <v>10156</v>
      </c>
      <c r="G46" s="30" t="n">
        <v>14161</v>
      </c>
      <c r="H46" s="31" t="n">
        <v>5827</v>
      </c>
      <c r="I46" s="31" t="n">
        <v>3453</v>
      </c>
      <c r="J46" s="31" t="n">
        <v>4298</v>
      </c>
      <c r="K46" s="31" t="n">
        <v>3533</v>
      </c>
      <c r="L46" s="32" t="n">
        <v>6994</v>
      </c>
      <c r="M46" s="33" t="n">
        <f aca="false">IFERROR(AVERAGEIF(C46:G46,"&gt;0"),0)</f>
        <v>6951.25</v>
      </c>
      <c r="N46" s="34" t="n">
        <f aca="false">IFERROR(AVERAGEIF(H46:K46,"&gt;0"),0)</f>
        <v>4277.75</v>
      </c>
      <c r="O46" s="76" t="n">
        <f aca="false">N46-M46</f>
        <v>-2673.5</v>
      </c>
      <c r="P46" s="77" t="n">
        <f aca="false">IFERROR(N46/M46,"n/a")</f>
        <v>0.615392914943356</v>
      </c>
      <c r="Q46" s="69" t="n">
        <f aca="false">IFERROR(N46/$C$3,0)</f>
        <v>3.86804644918784E-005</v>
      </c>
      <c r="R46" s="69" t="n">
        <f aca="false">IFERROR(O46/$D$4,0)</f>
        <v>-6.08021711056257E-005</v>
      </c>
      <c r="S46" s="78" t="n">
        <f aca="false">IFERROR((Q46+R46)/2,0)</f>
        <v>-1.10608533068736E-005</v>
      </c>
      <c r="T46" s="79"/>
      <c r="U46" s="70" t="n">
        <f aca="false">IFERROR(POWER(K46/C46,1/8)-1,"n/a")</f>
        <v>0.0180042241361036</v>
      </c>
      <c r="V46" s="58" t="n">
        <f aca="false">IFERROR(POWER(K46/H46,1/3)-1,"n/a")</f>
        <v>-0.153618413556049</v>
      </c>
      <c r="W46" s="53" t="n">
        <f aca="false">IFERROR(V46-U46,"n/a")</f>
        <v>-0.171622637692153</v>
      </c>
      <c r="X46" s="59" t="n">
        <f aca="false">IFERROR(SLOPE(C46:K46,{1,2,3,4,5,6,7,8,9})/AVERAGEIF(C46:K46,"&gt;0"),"n/a")</f>
        <v>-0.00122311299666925</v>
      </c>
      <c r="Y46" s="59" t="n">
        <f aca="false">IFERROR(SLOPE(H46:K46,{1,2,3,4})/AVERAGEIF(H46:K46,"&gt;0"),"n/a")</f>
        <v>-0.141125591724622</v>
      </c>
      <c r="Z46" s="45" t="n">
        <f aca="false">IFERROR(H46/G46,"n/a")</f>
        <v>0.411482239954805</v>
      </c>
      <c r="AA46" s="45" t="n">
        <f aca="false">IFERROR(H46/F46,"n/a")</f>
        <v>0.573749507680189</v>
      </c>
      <c r="AB46" s="46" t="n">
        <v>0.606471470593965</v>
      </c>
      <c r="AC46" s="47" t="s">
        <v>121</v>
      </c>
      <c r="AD46" s="48" t="n">
        <v>0.05</v>
      </c>
      <c r="AE46" s="49" t="s">
        <v>122</v>
      </c>
    </row>
    <row r="47" customFormat="false" ht="16.5" hidden="false" customHeight="true" outlineLevel="0" collapsed="false">
      <c r="A47" s="83" t="s">
        <v>156</v>
      </c>
      <c r="B47" s="84" t="s">
        <v>157</v>
      </c>
      <c r="C47" s="50" t="s">
        <v>84</v>
      </c>
      <c r="D47" s="50" t="s">
        <v>84</v>
      </c>
      <c r="E47" s="50" t="s">
        <v>84</v>
      </c>
      <c r="F47" s="50" t="s">
        <v>84</v>
      </c>
      <c r="G47" s="50" t="s">
        <v>84</v>
      </c>
      <c r="H47" s="50" t="s">
        <v>84</v>
      </c>
      <c r="I47" s="50" t="s">
        <v>84</v>
      </c>
      <c r="J47" s="31" t="n">
        <v>1919</v>
      </c>
      <c r="K47" s="31" t="n">
        <v>5149</v>
      </c>
      <c r="L47" s="50" t="s">
        <v>84</v>
      </c>
      <c r="M47" s="33" t="n">
        <f aca="false">IFERROR(AVERAGEIF(C47:G47,"&gt;0"),0)</f>
        <v>0</v>
      </c>
      <c r="N47" s="34" t="n">
        <f aca="false">IFERROR(AVERAGEIF(H47:K47,"&gt;0"),0)</f>
        <v>3534</v>
      </c>
      <c r="O47" s="87" t="n">
        <f aca="false">N47-M47</f>
        <v>3534</v>
      </c>
      <c r="P47" s="77" t="str">
        <f aca="false">IFERROR(N47/M47,"n/a")</f>
        <v>n/a</v>
      </c>
      <c r="Q47" s="69" t="n">
        <f aca="false">IFERROR(N47/$C$3,0)</f>
        <v>3.19552946091516E-005</v>
      </c>
      <c r="R47" s="69" t="n">
        <f aca="false">IFERROR(O47/$D$4,0)</f>
        <v>8.03721236907728E-005</v>
      </c>
      <c r="S47" s="78" t="n">
        <f aca="false">IFERROR((Q47+R47)/2,0)</f>
        <v>5.61637091499622E-005</v>
      </c>
      <c r="T47" s="79"/>
      <c r="U47" s="41" t="str">
        <f aca="false">IFERROR(POWER(K47/C47,1/8)-1,"n/a")</f>
        <v>n/a</v>
      </c>
      <c r="V47" s="41" t="str">
        <f aca="false">IFERROR(POWER(K47/H47,1/3)-1,"n/a")</f>
        <v>n/a</v>
      </c>
      <c r="W47" s="71" t="str">
        <f aca="false">IFERROR(V47-U47,"n/a")</f>
        <v>n/a</v>
      </c>
      <c r="X47" s="88" t="n">
        <f aca="false">IFERROR(SLOPE(C47:K47,{1,2,3,4,5,6,7,8,9})/AVERAGEIF(C47:K47,"&gt;0"),"n/a")</f>
        <v>0.913978494623656</v>
      </c>
      <c r="Y47" s="88" t="n">
        <f aca="false">IFERROR(SLOPE(H47:K47,{1,2,3,4})/AVERAGEIF(H47:K47,"&gt;0"),"n/a")</f>
        <v>0.913978494623656</v>
      </c>
      <c r="Z47" s="45" t="str">
        <f aca="false">IFERROR(H47/G47,"n/a")</f>
        <v>n/a</v>
      </c>
      <c r="AA47" s="45" t="str">
        <f aca="false">IFERROR(H47/F47,"n/a")</f>
        <v>n/a</v>
      </c>
      <c r="AB47" s="89" t="s">
        <v>147</v>
      </c>
      <c r="AC47" s="47" t="s">
        <v>135</v>
      </c>
      <c r="AD47" s="65" t="n">
        <v>0.25</v>
      </c>
      <c r="AE47" s="66" t="s">
        <v>136</v>
      </c>
    </row>
    <row r="48" customFormat="false" ht="16.5" hidden="false" customHeight="true" outlineLevel="0" collapsed="false">
      <c r="A48" s="83" t="s">
        <v>158</v>
      </c>
      <c r="B48" s="84" t="s">
        <v>159</v>
      </c>
      <c r="C48" s="50" t="s">
        <v>84</v>
      </c>
      <c r="D48" s="30" t="n">
        <v>948</v>
      </c>
      <c r="E48" s="50" t="s">
        <v>84</v>
      </c>
      <c r="F48" s="30" t="n">
        <v>43737</v>
      </c>
      <c r="G48" s="30" t="n">
        <v>333</v>
      </c>
      <c r="H48" s="31" t="n">
        <v>1166</v>
      </c>
      <c r="I48" s="31" t="n">
        <v>2427</v>
      </c>
      <c r="J48" s="50" t="s">
        <v>84</v>
      </c>
      <c r="K48" s="31" t="n">
        <v>826</v>
      </c>
      <c r="L48" s="50" t="s">
        <v>84</v>
      </c>
      <c r="M48" s="33" t="n">
        <f aca="false">IFERROR(AVERAGEIF(C48:G48,"&gt;0"),0)</f>
        <v>15006</v>
      </c>
      <c r="N48" s="34" t="n">
        <f aca="false">IFERROR(AVERAGEIF(H48:K48,"&gt;0"),0)</f>
        <v>1473</v>
      </c>
      <c r="O48" s="76" t="n">
        <f aca="false">N48-M48</f>
        <v>-13533</v>
      </c>
      <c r="P48" s="77" t="n">
        <f aca="false">IFERROR(N48/M48,"n/a")</f>
        <v>0.0981607357057177</v>
      </c>
      <c r="Q48" s="69" t="n">
        <f aca="false">IFERROR(N48/$C$3,0)</f>
        <v>1.33192272097567E-005</v>
      </c>
      <c r="R48" s="69" t="n">
        <f aca="false">IFERROR(O48/$D$4,0)</f>
        <v>-0.000307774745304818</v>
      </c>
      <c r="S48" s="78" t="n">
        <f aca="false">IFERROR((Q48+R48)/2,0)</f>
        <v>-0.000147227759047531</v>
      </c>
      <c r="T48" s="79"/>
      <c r="U48" s="58" t="str">
        <f aca="false">IFERROR(POWER(K48/C48,1/8)-1,"n/a")</f>
        <v>n/a</v>
      </c>
      <c r="V48" s="58" t="n">
        <f aca="false">IFERROR(POWER(K48/H48,1/3)-1,"n/a")</f>
        <v>-0.108556480189589</v>
      </c>
      <c r="W48" s="53" t="str">
        <f aca="false">IFERROR(V48-U48,"n/a")</f>
        <v>n/a</v>
      </c>
      <c r="X48" s="59" t="n">
        <f aca="false">IFERROR(SLOPE(C48:K48,{1,2,3,4,5,6,7,8,9})/AVERAGEIF(C48:K48,"&gt;0"),"n/a")</f>
        <v>-0.254974744435908</v>
      </c>
      <c r="Y48" s="59" t="n">
        <f aca="false">IFERROR(SLOPE(H48:K48,{1,2,3,4})/AVERAGEIF(H48:K48,"&gt;0"),"n/a")</f>
        <v>-0.143584521384929</v>
      </c>
      <c r="Z48" s="54" t="n">
        <f aca="false">IFERROR(H48/G48,"n/a")</f>
        <v>3.5015015015015</v>
      </c>
      <c r="AA48" s="45" t="n">
        <f aca="false">IFERROR(H48/F48,"n/a")</f>
        <v>0.0266593502069186</v>
      </c>
      <c r="AB48" s="56" t="n">
        <v>55.7410047522064</v>
      </c>
      <c r="AC48" s="47" t="s">
        <v>121</v>
      </c>
      <c r="AD48" s="48" t="n">
        <v>0.05</v>
      </c>
      <c r="AE48" s="49" t="s">
        <v>122</v>
      </c>
    </row>
    <row r="49" customFormat="false" ht="16.5" hidden="false" customHeight="true" outlineLevel="0" collapsed="false">
      <c r="A49" s="83" t="s">
        <v>160</v>
      </c>
      <c r="B49" s="84" t="s">
        <v>161</v>
      </c>
      <c r="C49" s="50" t="s">
        <v>84</v>
      </c>
      <c r="D49" s="30" t="n">
        <v>2598</v>
      </c>
      <c r="E49" s="30" t="n">
        <v>1350</v>
      </c>
      <c r="F49" s="50" t="s">
        <v>84</v>
      </c>
      <c r="G49" s="30" t="n">
        <v>1003</v>
      </c>
      <c r="H49" s="50" t="s">
        <v>84</v>
      </c>
      <c r="I49" s="50" t="s">
        <v>84</v>
      </c>
      <c r="J49" s="50" t="s">
        <v>84</v>
      </c>
      <c r="K49" s="31" t="n">
        <v>1460</v>
      </c>
      <c r="L49" s="50" t="s">
        <v>84</v>
      </c>
      <c r="M49" s="33" t="n">
        <f aca="false">IFERROR(AVERAGEIF(C49:G49,"&gt;0"),0)</f>
        <v>1650.33333333333</v>
      </c>
      <c r="N49" s="34" t="n">
        <f aca="false">IFERROR(AVERAGEIF(H49:K49,"&gt;0"),0)</f>
        <v>1460</v>
      </c>
      <c r="O49" s="76" t="n">
        <f aca="false">N49-M49</f>
        <v>-190.333333333333</v>
      </c>
      <c r="P49" s="77" t="n">
        <f aca="false">IFERROR(N49/M49,"n/a")</f>
        <v>0.884669763684104</v>
      </c>
      <c r="Q49" s="69" t="n">
        <f aca="false">IFERROR(N49/$C$3,0)</f>
        <v>1.32016780218906E-005</v>
      </c>
      <c r="R49" s="69" t="n">
        <f aca="false">IFERROR(O49/$D$4,0)</f>
        <v>-4.32866276433043E-006</v>
      </c>
      <c r="S49" s="78" t="n">
        <f aca="false">IFERROR((Q49+R49)/2,0)</f>
        <v>4.43650762878008E-006</v>
      </c>
      <c r="T49" s="79"/>
      <c r="U49" s="58" t="str">
        <f aca="false">IFERROR(POWER(K49/C49,1/8)-1,"n/a")</f>
        <v>n/a</v>
      </c>
      <c r="V49" s="70" t="str">
        <f aca="false">IFERROR(POWER(K49/H49,1/3)-1,"n/a")</f>
        <v>n/a</v>
      </c>
      <c r="W49" s="90" t="str">
        <f aca="false">IFERROR(V49-U49,"n/a")</f>
        <v>n/a</v>
      </c>
      <c r="X49" s="59" t="n">
        <f aca="false">IFERROR(SLOPE(C49:K49,{1,2,3,4,5,6,7,8,9})/AVERAGEIF(C49:K49,"&gt;0"),"n/a")</f>
        <v>-0.066217710049982</v>
      </c>
      <c r="Y49" s="88" t="str">
        <f aca="false">IFERROR(SLOPE(H49:K49,{1,2,3,4})/AVERAGEIF(H49:K49,"&gt;0"),"n/a")</f>
        <v>n/a</v>
      </c>
      <c r="Z49" s="45" t="str">
        <f aca="false">IFERROR(H49/G49,"n/a")</f>
        <v>n/a</v>
      </c>
      <c r="AA49" s="45" t="str">
        <f aca="false">IFERROR(H49/F49,"n/a")</f>
        <v>n/a</v>
      </c>
      <c r="AB49" s="56" t="n">
        <v>6.84931506849315</v>
      </c>
      <c r="AC49" s="47" t="s">
        <v>121</v>
      </c>
      <c r="AD49" s="48" t="n">
        <v>0.05</v>
      </c>
      <c r="AE49" s="49" t="s">
        <v>122</v>
      </c>
    </row>
    <row r="50" customFormat="false" ht="16.5" hidden="false" customHeight="true" outlineLevel="0" collapsed="false">
      <c r="A50" s="83" t="s">
        <v>162</v>
      </c>
      <c r="B50" s="84" t="s">
        <v>163</v>
      </c>
      <c r="C50" s="30" t="n">
        <v>2244</v>
      </c>
      <c r="D50" s="30" t="n">
        <v>3700</v>
      </c>
      <c r="E50" s="30" t="n">
        <v>2230</v>
      </c>
      <c r="F50" s="30" t="n">
        <v>3223</v>
      </c>
      <c r="G50" s="30" t="n">
        <v>2486</v>
      </c>
      <c r="H50" s="31" t="n">
        <v>283</v>
      </c>
      <c r="I50" s="50" t="s">
        <v>84</v>
      </c>
      <c r="J50" s="50" t="s">
        <v>84</v>
      </c>
      <c r="K50" s="31" t="n">
        <v>2288</v>
      </c>
      <c r="L50" s="50" t="s">
        <v>84</v>
      </c>
      <c r="M50" s="33" t="n">
        <f aca="false">IFERROR(AVERAGEIF(C50:G50,"&gt;0"),0)</f>
        <v>2776.6</v>
      </c>
      <c r="N50" s="34" t="n">
        <f aca="false">IFERROR(AVERAGEIF(H50:K50,"&gt;0"),0)</f>
        <v>1285.5</v>
      </c>
      <c r="O50" s="76" t="n">
        <f aca="false">N50-M50</f>
        <v>-1491.1</v>
      </c>
      <c r="P50" s="77" t="n">
        <f aca="false">IFERROR(N50/M50,"n/a")</f>
        <v>0.462976301952028</v>
      </c>
      <c r="Q50" s="69" t="n">
        <f aca="false">IFERROR(N50/$C$3,0)</f>
        <v>1.16238062309181E-005</v>
      </c>
      <c r="R50" s="69" t="n">
        <f aca="false">IFERROR(O50/$D$4,0)</f>
        <v>-3.39113960484752E-005</v>
      </c>
      <c r="S50" s="78" t="n">
        <f aca="false">IFERROR((Q50+R50)/2,0)</f>
        <v>-1.11437949087786E-005</v>
      </c>
      <c r="T50" s="79"/>
      <c r="U50" s="70" t="n">
        <f aca="false">IFERROR(POWER(K50/C50,1/8)-1,"n/a")</f>
        <v>0.00243020891432155</v>
      </c>
      <c r="V50" s="41" t="n">
        <f aca="false">IFERROR(POWER(K50/H50,1/3)-1,"n/a")</f>
        <v>1.00704231162787</v>
      </c>
      <c r="W50" s="42" t="n">
        <f aca="false">IFERROR(V50-U50,"n/a")</f>
        <v>1.00461210271354</v>
      </c>
      <c r="X50" s="59" t="n">
        <f aca="false">IFERROR(SLOPE(C50:K50,{1,2,3,4,5,6,7,8,9})/AVERAGEIF(C50:K50,"&gt;0"),"n/a")</f>
        <v>-0.0643712455138088</v>
      </c>
      <c r="Y50" s="88" t="n">
        <f aca="false">IFERROR(SLOPE(H50:K50,{1,2,3,4})/AVERAGEIF(H50:K50,"&gt;0"),"n/a")</f>
        <v>0.519901465058991</v>
      </c>
      <c r="Z50" s="45" t="n">
        <f aca="false">IFERROR(H50/G50,"n/a")</f>
        <v>0.113837489943685</v>
      </c>
      <c r="AA50" s="45" t="n">
        <f aca="false">IFERROR(H50/F50,"n/a")</f>
        <v>0.0878063915606578</v>
      </c>
      <c r="AB50" s="89" t="s">
        <v>147</v>
      </c>
      <c r="AC50" s="47" t="s">
        <v>164</v>
      </c>
      <c r="AD50" s="48" t="n">
        <v>0.1</v>
      </c>
      <c r="AE50" s="66" t="s">
        <v>165</v>
      </c>
    </row>
    <row r="51" customFormat="false" ht="16.5" hidden="false" customHeight="true" outlineLevel="0" collapsed="false">
      <c r="A51" s="83" t="s">
        <v>166</v>
      </c>
      <c r="B51" s="84" t="s">
        <v>167</v>
      </c>
      <c r="C51" s="30" t="n">
        <v>15484</v>
      </c>
      <c r="D51" s="30" t="n">
        <v>11042</v>
      </c>
      <c r="E51" s="30" t="n">
        <v>10073</v>
      </c>
      <c r="F51" s="30" t="n">
        <v>8640</v>
      </c>
      <c r="G51" s="30" t="n">
        <v>5197</v>
      </c>
      <c r="H51" s="50" t="s">
        <v>84</v>
      </c>
      <c r="I51" s="50" t="s">
        <v>84</v>
      </c>
      <c r="J51" s="31" t="n">
        <v>1090</v>
      </c>
      <c r="K51" s="50" t="s">
        <v>84</v>
      </c>
      <c r="L51" s="50" t="s">
        <v>84</v>
      </c>
      <c r="M51" s="33" t="n">
        <f aca="false">IFERROR(AVERAGEIF(C51:G51,"&gt;0"),0)</f>
        <v>10087.2</v>
      </c>
      <c r="N51" s="34" t="n">
        <f aca="false">IFERROR(AVERAGEIF(H51:K51,"&gt;0"),0)</f>
        <v>1090</v>
      </c>
      <c r="O51" s="76" t="n">
        <f aca="false">N51-M51</f>
        <v>-8997.2</v>
      </c>
      <c r="P51" s="77" t="n">
        <f aca="false">IFERROR(N51/M51,"n/a")</f>
        <v>0.108057736537394</v>
      </c>
      <c r="Q51" s="69" t="n">
        <f aca="false">IFERROR(N51/$C$3,0)</f>
        <v>9.85604729031558E-006</v>
      </c>
      <c r="R51" s="69" t="n">
        <f aca="false">IFERROR(O51/$D$4,0)</f>
        <v>-0.000204619148633453</v>
      </c>
      <c r="S51" s="78" t="n">
        <f aca="false">IFERROR((Q51+R51)/2,0)</f>
        <v>-9.73815506715685E-005</v>
      </c>
      <c r="T51" s="79"/>
      <c r="U51" s="58" t="str">
        <f aca="false">IFERROR(POWER(K51/C51,1/8)-1,"n/a")</f>
        <v>n/a</v>
      </c>
      <c r="V51" s="70" t="str">
        <f aca="false">IFERROR(POWER(K51/H51,1/3)-1,"n/a")</f>
        <v>n/a</v>
      </c>
      <c r="W51" s="90" t="str">
        <f aca="false">IFERROR(V51-U51,"n/a")</f>
        <v>n/a</v>
      </c>
      <c r="X51" s="59" t="n">
        <f aca="false">IFERROR(SLOPE(C51:K51,{1,2,3,4,5,6,7,8,9})/AVERAGEIF(C51:K51,"&gt;0"),"n/a")</f>
        <v>-0.228351364989179</v>
      </c>
      <c r="Y51" s="88" t="str">
        <f aca="false">IFERROR(SLOPE(H51:K51,{1,2,3,4})/AVERAGEIF(H51:K51,"&gt;0"),"n/a")</f>
        <v>n/a</v>
      </c>
      <c r="Z51" s="45" t="str">
        <f aca="false">IFERROR(H51/G51,"n/a")</f>
        <v>n/a</v>
      </c>
      <c r="AA51" s="45" t="str">
        <f aca="false">IFERROR(H51/F51,"n/a")</f>
        <v>n/a</v>
      </c>
      <c r="AB51" s="46" t="n">
        <v>0.0788990825688073</v>
      </c>
      <c r="AC51" s="47" t="s">
        <v>80</v>
      </c>
      <c r="AD51" s="48" t="n">
        <v>0.025</v>
      </c>
      <c r="AE51" s="49" t="s">
        <v>81</v>
      </c>
    </row>
    <row r="52" customFormat="false" ht="16.5" hidden="false" customHeight="true" outlineLevel="0" collapsed="false">
      <c r="A52" s="83" t="s">
        <v>168</v>
      </c>
      <c r="B52" s="84" t="s">
        <v>169</v>
      </c>
      <c r="C52" s="50" t="s">
        <v>84</v>
      </c>
      <c r="D52" s="30" t="n">
        <v>3698</v>
      </c>
      <c r="E52" s="50" t="s">
        <v>84</v>
      </c>
      <c r="F52" s="50" t="s">
        <v>84</v>
      </c>
      <c r="G52" s="50" t="s">
        <v>84</v>
      </c>
      <c r="H52" s="50" t="s">
        <v>84</v>
      </c>
      <c r="I52" s="31" t="n">
        <v>1090</v>
      </c>
      <c r="J52" s="50" t="s">
        <v>84</v>
      </c>
      <c r="K52" s="50" t="s">
        <v>84</v>
      </c>
      <c r="L52" s="50" t="s">
        <v>84</v>
      </c>
      <c r="M52" s="33" t="n">
        <f aca="false">IFERROR(AVERAGEIF(C52:G52,"&gt;0"),0)</f>
        <v>3698</v>
      </c>
      <c r="N52" s="34" t="n">
        <f aca="false">IFERROR(AVERAGEIF(H52:K52,"&gt;0"),0)</f>
        <v>1090</v>
      </c>
      <c r="O52" s="76" t="n">
        <f aca="false">N52-M52</f>
        <v>-2608</v>
      </c>
      <c r="P52" s="77" t="n">
        <f aca="false">IFERROR(N52/M52,"n/a")</f>
        <v>0.294753921038399</v>
      </c>
      <c r="Q52" s="69" t="n">
        <f aca="false">IFERROR(N52/$C$3,0)</f>
        <v>9.85604729031558E-006</v>
      </c>
      <c r="R52" s="69" t="n">
        <f aca="false">IFERROR(O52/$D$4,0)</f>
        <v>-5.93125349704402E-005</v>
      </c>
      <c r="S52" s="78" t="n">
        <f aca="false">IFERROR((Q52+R52)/2,0)</f>
        <v>-2.47282438400623E-005</v>
      </c>
      <c r="T52" s="79"/>
      <c r="U52" s="58" t="str">
        <f aca="false">IFERROR(POWER(K52/C52,1/8)-1,"n/a")</f>
        <v>n/a</v>
      </c>
      <c r="V52" s="70" t="str">
        <f aca="false">IFERROR(POWER(K52/H52,1/3)-1,"n/a")</f>
        <v>n/a</v>
      </c>
      <c r="W52" s="90" t="str">
        <f aca="false">IFERROR(V52-U52,"n/a")</f>
        <v>n/a</v>
      </c>
      <c r="X52" s="88" t="n">
        <f aca="false">IFERROR(SLOPE(C52:K52,{1,2,3,4,5,6,7,8,9})/AVERAGEIF(C52:K52,"&gt;0"),"n/a")</f>
        <v>-0.217878028404344</v>
      </c>
      <c r="Y52" s="88" t="str">
        <f aca="false">IFERROR(SLOPE(H52:K52,{1,2,3,4})/AVERAGEIF(H52:K52,"&gt;0"),"n/a")</f>
        <v>n/a</v>
      </c>
      <c r="Z52" s="45" t="str">
        <f aca="false">IFERROR(H52/G52,"n/a")</f>
        <v>n/a</v>
      </c>
      <c r="AA52" s="45" t="str">
        <f aca="false">IFERROR(H52/F52,"n/a")</f>
        <v>n/a</v>
      </c>
      <c r="AB52" s="89" t="s">
        <v>147</v>
      </c>
      <c r="AC52" s="47" t="s">
        <v>80</v>
      </c>
      <c r="AD52" s="48" t="n">
        <v>0.025</v>
      </c>
      <c r="AE52" s="49" t="s">
        <v>81</v>
      </c>
    </row>
    <row r="53" customFormat="false" ht="16.5" hidden="false" customHeight="true" outlineLevel="0" collapsed="false">
      <c r="A53" s="83" t="s">
        <v>170</v>
      </c>
      <c r="B53" s="84" t="s">
        <v>171</v>
      </c>
      <c r="C53" s="50" t="s">
        <v>84</v>
      </c>
      <c r="D53" s="50" t="s">
        <v>84</v>
      </c>
      <c r="E53" s="50" t="s">
        <v>84</v>
      </c>
      <c r="F53" s="50" t="s">
        <v>84</v>
      </c>
      <c r="G53" s="50" t="s">
        <v>84</v>
      </c>
      <c r="H53" s="50" t="s">
        <v>84</v>
      </c>
      <c r="I53" s="50" t="s">
        <v>84</v>
      </c>
      <c r="J53" s="31" t="n">
        <v>191</v>
      </c>
      <c r="K53" s="31" t="n">
        <v>1796</v>
      </c>
      <c r="L53" s="32" t="n">
        <v>27500</v>
      </c>
      <c r="M53" s="33" t="n">
        <f aca="false">IFERROR(AVERAGEIF(C53:G53,"&gt;0"),0)</f>
        <v>0</v>
      </c>
      <c r="N53" s="34" t="n">
        <f aca="false">IFERROR(AVERAGEIF(H53:K53,"&gt;0"),0)</f>
        <v>993.5</v>
      </c>
      <c r="O53" s="87" t="n">
        <f aca="false">N53-M53</f>
        <v>993.5</v>
      </c>
      <c r="P53" s="77" t="str">
        <f aca="false">IFERROR(N53/M53,"n/a")</f>
        <v>n/a</v>
      </c>
      <c r="Q53" s="69" t="n">
        <f aca="false">IFERROR(N53/$C$3,0)</f>
        <v>8.98347062653993E-006</v>
      </c>
      <c r="R53" s="69" t="n">
        <f aca="false">IFERROR(O53/$D$4,0)</f>
        <v>2.25947099283483E-005</v>
      </c>
      <c r="S53" s="78" t="n">
        <f aca="false">IFERROR((Q53+R53)/2,0)</f>
        <v>1.57890902774441E-005</v>
      </c>
      <c r="T53" s="79"/>
      <c r="U53" s="41" t="str">
        <f aca="false">IFERROR(POWER(K53/C53,1/8)-1,"n/a")</f>
        <v>n/a</v>
      </c>
      <c r="V53" s="41" t="str">
        <f aca="false">IFERROR(POWER(K53/H53,1/3)-1,"n/a")</f>
        <v>n/a</v>
      </c>
      <c r="W53" s="71" t="str">
        <f aca="false">IFERROR(V53-U53,"n/a")</f>
        <v>n/a</v>
      </c>
      <c r="X53" s="88" t="n">
        <f aca="false">IFERROR(SLOPE(C53:K53,{1,2,3,4,5,6,7,8,9})/AVERAGEIF(C53:K53,"&gt;0"),"n/a")</f>
        <v>1.61550075490689</v>
      </c>
      <c r="Y53" s="88" t="n">
        <f aca="false">IFERROR(SLOPE(H53:K53,{1,2,3,4})/AVERAGEIF(H53:K53,"&gt;0"),"n/a")</f>
        <v>1.61550075490689</v>
      </c>
      <c r="Z53" s="45" t="str">
        <f aca="false">IFERROR(H53/G53,"n/a")</f>
        <v>n/a</v>
      </c>
      <c r="AA53" s="45" t="str">
        <f aca="false">IFERROR(H53/F53,"n/a")</f>
        <v>n/a</v>
      </c>
      <c r="AB53" s="56" t="n">
        <v>25.9976514007717</v>
      </c>
      <c r="AC53" s="47" t="s">
        <v>172</v>
      </c>
      <c r="AD53" s="65" t="n">
        <v>0.15</v>
      </c>
      <c r="AE53" s="66" t="s">
        <v>173</v>
      </c>
    </row>
    <row r="54" customFormat="false" ht="16.5" hidden="false" customHeight="true" outlineLevel="0" collapsed="false">
      <c r="A54" s="83" t="s">
        <v>174</v>
      </c>
      <c r="B54" s="84" t="s">
        <v>175</v>
      </c>
      <c r="C54" s="30" t="n">
        <v>110</v>
      </c>
      <c r="D54" s="30" t="n">
        <v>38</v>
      </c>
      <c r="E54" s="30" t="n">
        <v>648</v>
      </c>
      <c r="F54" s="30" t="n">
        <v>153</v>
      </c>
      <c r="G54" s="30" t="n">
        <v>79</v>
      </c>
      <c r="H54" s="31" t="n">
        <v>167</v>
      </c>
      <c r="I54" s="50" t="s">
        <v>84</v>
      </c>
      <c r="J54" s="50" t="s">
        <v>84</v>
      </c>
      <c r="K54" s="50" t="s">
        <v>84</v>
      </c>
      <c r="L54" s="50" t="s">
        <v>84</v>
      </c>
      <c r="M54" s="33" t="n">
        <f aca="false">IFERROR(AVERAGEIF(C54:G54,"&gt;0"),0)</f>
        <v>205.6</v>
      </c>
      <c r="N54" s="34" t="n">
        <f aca="false">IFERROR(AVERAGEIF(H54:K54,"&gt;0"),0)</f>
        <v>167</v>
      </c>
      <c r="O54" s="76" t="n">
        <f aca="false">N54-M54</f>
        <v>-38.6</v>
      </c>
      <c r="P54" s="77" t="n">
        <f aca="false">IFERROR(N54/M54,"n/a")</f>
        <v>0.812256809338521</v>
      </c>
      <c r="Q54" s="69" t="n">
        <f aca="false">IFERROR(N54/$C$3,0)</f>
        <v>1.51005495181899E-006</v>
      </c>
      <c r="R54" s="69" t="n">
        <f aca="false">IFERROR(O54/$D$4,0)</f>
        <v>-8.77861905620778E-007</v>
      </c>
      <c r="S54" s="78" t="n">
        <f aca="false">IFERROR((Q54+R54)/2,0)</f>
        <v>3.16096523099107E-007</v>
      </c>
      <c r="T54" s="79"/>
      <c r="U54" s="40" t="str">
        <f aca="false">IFERROR(POWER(K54/C54,1/8)-1,"n/a")</f>
        <v>n/a</v>
      </c>
      <c r="V54" s="70" t="str">
        <f aca="false">IFERROR(POWER(K54/H54,1/3)-1,"n/a")</f>
        <v>n/a</v>
      </c>
      <c r="W54" s="90" t="str">
        <f aca="false">IFERROR(V54-U54,"n/a")</f>
        <v>n/a</v>
      </c>
      <c r="X54" s="59" t="n">
        <f aca="false">IFERROR(SLOPE(C54:K54,{1,2,3,4,5,6,7,8,9})/AVERAGEIF(C54:K54,"&gt;0"),"n/a")</f>
        <v>-0.012480573819486</v>
      </c>
      <c r="Y54" s="88" t="str">
        <f aca="false">IFERROR(SLOPE(H54:K54,{1,2,3,4})/AVERAGEIF(H54:K54,"&gt;0"),"n/a")</f>
        <v>n/a</v>
      </c>
      <c r="Z54" s="80" t="n">
        <f aca="false">IFERROR(H54/G54,"n/a")</f>
        <v>2.11392405063291</v>
      </c>
      <c r="AA54" s="45" t="n">
        <f aca="false">IFERROR(H54/F54,"n/a")</f>
        <v>1.09150326797386</v>
      </c>
      <c r="AB54" s="89" t="s">
        <v>147</v>
      </c>
      <c r="AC54" s="47" t="s">
        <v>121</v>
      </c>
      <c r="AD54" s="48" t="n">
        <v>0.05</v>
      </c>
      <c r="AE54" s="49" t="s">
        <v>122</v>
      </c>
    </row>
    <row r="55" customFormat="false" ht="16.5" hidden="false" customHeight="true" outlineLevel="0" collapsed="false">
      <c r="A55" s="83" t="s">
        <v>176</v>
      </c>
      <c r="B55" s="84" t="s">
        <v>177</v>
      </c>
      <c r="C55" s="50" t="s">
        <v>84</v>
      </c>
      <c r="D55" s="50" t="s">
        <v>84</v>
      </c>
      <c r="E55" s="50" t="s">
        <v>84</v>
      </c>
      <c r="F55" s="50" t="s">
        <v>84</v>
      </c>
      <c r="G55" s="30" t="n">
        <v>598</v>
      </c>
      <c r="H55" s="50" t="s">
        <v>84</v>
      </c>
      <c r="I55" s="31" t="n">
        <v>100</v>
      </c>
      <c r="J55" s="31" t="n">
        <v>145</v>
      </c>
      <c r="K55" s="50" t="s">
        <v>84</v>
      </c>
      <c r="L55" s="50" t="s">
        <v>84</v>
      </c>
      <c r="M55" s="33" t="n">
        <f aca="false">IFERROR(AVERAGEIF(C55:G55,"&gt;0"),0)</f>
        <v>598</v>
      </c>
      <c r="N55" s="34" t="n">
        <f aca="false">IFERROR(AVERAGEIF(H55:K55,"&gt;0"),0)</f>
        <v>122.5</v>
      </c>
      <c r="O55" s="76" t="n">
        <f aca="false">N55-M55</f>
        <v>-475.5</v>
      </c>
      <c r="P55" s="77" t="n">
        <f aca="false">IFERROR(N55/M55,"n/a")</f>
        <v>0.204849498327759</v>
      </c>
      <c r="Q55" s="69" t="n">
        <f aca="false">IFERROR(N55/$C$3,0)</f>
        <v>1.10767503950794E-006</v>
      </c>
      <c r="R55" s="69" t="n">
        <f aca="false">IFERROR(O55/$D$4,0)</f>
        <v>-1.08140760653544E-005</v>
      </c>
      <c r="S55" s="78" t="n">
        <f aca="false">IFERROR((Q55+R55)/2,0)</f>
        <v>-4.85320051292323E-006</v>
      </c>
      <c r="T55" s="79"/>
      <c r="U55" s="58" t="str">
        <f aca="false">IFERROR(POWER(K55/C55,1/8)-1,"n/a")</f>
        <v>n/a</v>
      </c>
      <c r="V55" s="41" t="str">
        <f aca="false">IFERROR(POWER(K55/H55,1/3)-1,"n/a")</f>
        <v>n/a</v>
      </c>
      <c r="W55" s="42" t="str">
        <f aca="false">IFERROR(V55-U55,"n/a")</f>
        <v>n/a</v>
      </c>
      <c r="X55" s="59" t="n">
        <f aca="false">IFERROR(SLOPE(C55:K55,{1,2,3,4,5,6,7,8,9})/AVERAGEIF(C55:K55,"&gt;0"),"n/a")</f>
        <v>-0.587188612099644</v>
      </c>
      <c r="Y55" s="88" t="n">
        <f aca="false">IFERROR(SLOPE(H55:K55,{1,2,3,4})/AVERAGEIF(H55:K55,"&gt;0"),"n/a")</f>
        <v>0.36734693877551</v>
      </c>
      <c r="Z55" s="45" t="str">
        <f aca="false">IFERROR(H55/G55,"n/a")</f>
        <v>n/a</v>
      </c>
      <c r="AA55" s="45" t="str">
        <f aca="false">IFERROR(H55/F55,"n/a")</f>
        <v>n/a</v>
      </c>
      <c r="AB55" s="46" t="n">
        <v>0.546938775510204</v>
      </c>
      <c r="AC55" s="47" t="s">
        <v>80</v>
      </c>
      <c r="AD55" s="48" t="n">
        <v>0.025</v>
      </c>
      <c r="AE55" s="49" t="s">
        <v>81</v>
      </c>
    </row>
    <row r="56" customFormat="false" ht="16.5" hidden="false" customHeight="true" outlineLevel="0" collapsed="false">
      <c r="A56" s="83" t="s">
        <v>178</v>
      </c>
      <c r="B56" s="84" t="s">
        <v>179</v>
      </c>
      <c r="C56" s="50" t="s">
        <v>84</v>
      </c>
      <c r="D56" s="50" t="s">
        <v>84</v>
      </c>
      <c r="E56" s="50" t="s">
        <v>84</v>
      </c>
      <c r="F56" s="50" t="s">
        <v>84</v>
      </c>
      <c r="G56" s="30" t="n">
        <v>50</v>
      </c>
      <c r="H56" s="50" t="s">
        <v>84</v>
      </c>
      <c r="I56" s="50" t="s">
        <v>84</v>
      </c>
      <c r="J56" s="31" t="n">
        <v>50</v>
      </c>
      <c r="K56" s="50" t="s">
        <v>84</v>
      </c>
      <c r="L56" s="50" t="s">
        <v>84</v>
      </c>
      <c r="M56" s="33" t="n">
        <f aca="false">IFERROR(AVERAGEIF(C56:G56,"&gt;0"),0)</f>
        <v>50</v>
      </c>
      <c r="N56" s="34" t="n">
        <f aca="false">IFERROR(AVERAGEIF(H56:K56,"&gt;0"),0)</f>
        <v>50</v>
      </c>
      <c r="O56" s="87" t="n">
        <f aca="false">N56-M56</f>
        <v>0</v>
      </c>
      <c r="P56" s="91" t="n">
        <f aca="false">IFERROR(N56/M56,"n/a")</f>
        <v>1</v>
      </c>
      <c r="Q56" s="69" t="n">
        <f aca="false">IFERROR(N56/$C$3,0)</f>
        <v>4.5211226102365E-007</v>
      </c>
      <c r="R56" s="69" t="n">
        <f aca="false">IFERROR(O56/$D$4,0)</f>
        <v>0</v>
      </c>
      <c r="S56" s="78" t="n">
        <f aca="false">IFERROR((Q56+R56)/2,0)</f>
        <v>2.26056130511825E-007</v>
      </c>
      <c r="T56" s="79"/>
      <c r="U56" s="70" t="str">
        <f aca="false">IFERROR(POWER(K56/C56,1/8)-1,"n/a")</f>
        <v>n/a</v>
      </c>
      <c r="V56" s="70" t="str">
        <f aca="false">IFERROR(POWER(K56/H56,1/3)-1,"n/a")</f>
        <v>n/a</v>
      </c>
      <c r="W56" s="90" t="str">
        <f aca="false">IFERROR(V56-U56,"n/a")</f>
        <v>n/a</v>
      </c>
      <c r="X56" s="88" t="n">
        <f aca="false">IFERROR(SLOPE(C56:K56,{1,2,3,4,5,6,7,8,9})/AVERAGEIF(C56:K56,"&gt;0"),"n/a")</f>
        <v>0</v>
      </c>
      <c r="Y56" s="88" t="str">
        <f aca="false">IFERROR(SLOPE(H56:K56,{1,2,3,4})/AVERAGEIF(H56:K56,"&gt;0"),"n/a")</f>
        <v>n/a</v>
      </c>
      <c r="Z56" s="45" t="str">
        <f aca="false">IFERROR(H56/G56,"n/a")</f>
        <v>n/a</v>
      </c>
      <c r="AA56" s="45" t="str">
        <f aca="false">IFERROR(H56/F56,"n/a")</f>
        <v>n/a</v>
      </c>
      <c r="AB56" s="89" t="s">
        <v>147</v>
      </c>
      <c r="AC56" s="47" t="s">
        <v>125</v>
      </c>
      <c r="AD56" s="48" t="n">
        <v>0.06</v>
      </c>
      <c r="AE56" s="49" t="s">
        <v>126</v>
      </c>
    </row>
    <row r="57" customFormat="false" ht="16.5" hidden="false" customHeight="true" outlineLevel="0" collapsed="false">
      <c r="A57" s="83" t="s">
        <v>180</v>
      </c>
      <c r="B57" s="84" t="s">
        <v>181</v>
      </c>
      <c r="C57" s="50" t="s">
        <v>84</v>
      </c>
      <c r="D57" s="50" t="s">
        <v>84</v>
      </c>
      <c r="E57" s="50" t="s">
        <v>84</v>
      </c>
      <c r="F57" s="50" t="s">
        <v>84</v>
      </c>
      <c r="G57" s="50" t="s">
        <v>84</v>
      </c>
      <c r="H57" s="31" t="n">
        <v>45</v>
      </c>
      <c r="I57" s="50" t="s">
        <v>84</v>
      </c>
      <c r="J57" s="50" t="s">
        <v>84</v>
      </c>
      <c r="K57" s="50" t="s">
        <v>84</v>
      </c>
      <c r="L57" s="50" t="s">
        <v>84</v>
      </c>
      <c r="M57" s="33" t="n">
        <f aca="false">IFERROR(AVERAGEIF(C57:G57,"&gt;0"),0)</f>
        <v>0</v>
      </c>
      <c r="N57" s="34" t="n">
        <f aca="false">IFERROR(AVERAGEIF(H57:K57,"&gt;0"),0)</f>
        <v>45</v>
      </c>
      <c r="O57" s="87" t="n">
        <f aca="false">N57-M57</f>
        <v>45</v>
      </c>
      <c r="P57" s="77" t="str">
        <f aca="false">IFERROR(N57/M57,"n/a")</f>
        <v>n/a</v>
      </c>
      <c r="Q57" s="69" t="n">
        <f aca="false">IFERROR(N57/$C$3,0)</f>
        <v>4.06901034921285E-007</v>
      </c>
      <c r="R57" s="69" t="n">
        <f aca="false">IFERROR(O57/$D$4,0)</f>
        <v>1.02341413867707E-006</v>
      </c>
      <c r="S57" s="78" t="n">
        <f aca="false">IFERROR((Q57+R57)/2,0)</f>
        <v>7.15157586799179E-007</v>
      </c>
      <c r="T57" s="79"/>
      <c r="U57" s="70" t="str">
        <f aca="false">IFERROR(POWER(K57/C57,1/8)-1,"n/a")</f>
        <v>n/a</v>
      </c>
      <c r="V57" s="70" t="str">
        <f aca="false">IFERROR(POWER(K57/H57,1/3)-1,"n/a")</f>
        <v>n/a</v>
      </c>
      <c r="W57" s="90" t="str">
        <f aca="false">IFERROR(V57-U57,"n/a")</f>
        <v>n/a</v>
      </c>
      <c r="X57" s="88" t="str">
        <f aca="false">IFERROR(SLOPE(C57:K57,{1,2,3,4,5,6,7,8,9})/AVERAGEIF(C57:K57,"&gt;0"),"n/a")</f>
        <v>n/a</v>
      </c>
      <c r="Y57" s="88" t="str">
        <f aca="false">IFERROR(SLOPE(H57:K57,{1,2,3,4})/AVERAGEIF(H57:K57,"&gt;0"),"n/a")</f>
        <v>n/a</v>
      </c>
      <c r="Z57" s="45" t="str">
        <f aca="false">IFERROR(H57/G57,"n/a")</f>
        <v>n/a</v>
      </c>
      <c r="AA57" s="45" t="str">
        <f aca="false">IFERROR(H57/F57,"n/a")</f>
        <v>n/a</v>
      </c>
      <c r="AB57" s="89" t="s">
        <v>147</v>
      </c>
      <c r="AC57" s="47" t="s">
        <v>164</v>
      </c>
      <c r="AD57" s="48" t="n">
        <v>0.1</v>
      </c>
      <c r="AE57" s="66" t="s">
        <v>165</v>
      </c>
    </row>
    <row r="58" customFormat="false" ht="16.5" hidden="false" customHeight="true" outlineLevel="0" collapsed="false">
      <c r="A58" s="83" t="s">
        <v>182</v>
      </c>
      <c r="B58" s="84" t="s">
        <v>183</v>
      </c>
      <c r="C58" s="50" t="s">
        <v>84</v>
      </c>
      <c r="D58" s="50" t="s">
        <v>84</v>
      </c>
      <c r="E58" s="50" t="s">
        <v>84</v>
      </c>
      <c r="F58" s="50" t="s">
        <v>84</v>
      </c>
      <c r="G58" s="50" t="s">
        <v>84</v>
      </c>
      <c r="H58" s="31" t="n">
        <v>7</v>
      </c>
      <c r="I58" s="50" t="s">
        <v>84</v>
      </c>
      <c r="J58" s="50" t="s">
        <v>84</v>
      </c>
      <c r="K58" s="50" t="s">
        <v>84</v>
      </c>
      <c r="L58" s="32" t="n">
        <v>186</v>
      </c>
      <c r="M58" s="33" t="n">
        <f aca="false">IFERROR(AVERAGEIF(C58:G58,"&gt;0"),0)</f>
        <v>0</v>
      </c>
      <c r="N58" s="34" t="n">
        <f aca="false">IFERROR(AVERAGEIF(H58:K58,"&gt;0"),0)</f>
        <v>7</v>
      </c>
      <c r="O58" s="87" t="n">
        <f aca="false">N58-M58</f>
        <v>7</v>
      </c>
      <c r="P58" s="77" t="str">
        <f aca="false">IFERROR(N58/M58,"n/a")</f>
        <v>n/a</v>
      </c>
      <c r="Q58" s="69" t="n">
        <f aca="false">IFERROR(N58/$C$3,0)</f>
        <v>6.32957165433111E-008</v>
      </c>
      <c r="R58" s="69" t="n">
        <f aca="false">IFERROR(O58/$D$4,0)</f>
        <v>1.59197754905322E-007</v>
      </c>
      <c r="S58" s="78" t="n">
        <f aca="false">IFERROR((Q58+R58)/2,0)</f>
        <v>1.11246735724317E-007</v>
      </c>
      <c r="T58" s="79"/>
      <c r="U58" s="70" t="str">
        <f aca="false">IFERROR(POWER(K58/C58,1/8)-1,"n/a")</f>
        <v>n/a</v>
      </c>
      <c r="V58" s="70" t="str">
        <f aca="false">IFERROR(POWER(K58/H58,1/3)-1,"n/a")</f>
        <v>n/a</v>
      </c>
      <c r="W58" s="90" t="str">
        <f aca="false">IFERROR(V58-U58,"n/a")</f>
        <v>n/a</v>
      </c>
      <c r="X58" s="88" t="str">
        <f aca="false">IFERROR(SLOPE(C58:K58,{1,2,3,4,5,6,7,8,9})/AVERAGEIF(C58:K58,"&gt;0"),"n/a")</f>
        <v>n/a</v>
      </c>
      <c r="Y58" s="88" t="str">
        <f aca="false">IFERROR(SLOPE(H58:K58,{1,2,3,4})/AVERAGEIF(H58:K58,"&gt;0"),"n/a")</f>
        <v>n/a</v>
      </c>
      <c r="Z58" s="45" t="str">
        <f aca="false">IFERROR(H58/G58,"n/a")</f>
        <v>n/a</v>
      </c>
      <c r="AA58" s="45" t="str">
        <f aca="false">IFERROR(H58/F58,"n/a")</f>
        <v>n/a</v>
      </c>
      <c r="AB58" s="56" t="n">
        <v>26.5714285714286</v>
      </c>
      <c r="AC58" s="47" t="s">
        <v>80</v>
      </c>
      <c r="AD58" s="48" t="n">
        <v>0.025</v>
      </c>
      <c r="AE58" s="49" t="s">
        <v>81</v>
      </c>
    </row>
    <row r="60" customFormat="false" ht="21.75" hidden="false" customHeight="true" outlineLevel="0" collapsed="false">
      <c r="A60" s="92" t="s">
        <v>184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</row>
    <row r="61" customFormat="false" ht="15" hidden="false" customHeight="true" outlineLevel="0" collapsed="false">
      <c r="A61" s="93" t="s">
        <v>185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</row>
    <row r="62" customFormat="false" ht="16.5" hidden="false" customHeight="true" outlineLevel="0" collapsed="false">
      <c r="A62" s="94" t="s">
        <v>186</v>
      </c>
      <c r="B62" s="95" t="s">
        <v>187</v>
      </c>
      <c r="C62" s="30" t="n">
        <v>286257</v>
      </c>
      <c r="D62" s="30" t="n">
        <v>273213</v>
      </c>
      <c r="E62" s="30" t="n">
        <v>343913</v>
      </c>
      <c r="F62" s="30" t="n">
        <v>269374</v>
      </c>
      <c r="G62" s="30" t="n">
        <v>314150</v>
      </c>
      <c r="H62" s="31" t="n">
        <v>504470</v>
      </c>
      <c r="I62" s="31" t="n">
        <v>625082</v>
      </c>
      <c r="J62" s="31" t="n">
        <v>1315523</v>
      </c>
      <c r="K62" s="31" t="n">
        <v>775244</v>
      </c>
      <c r="L62" s="32" t="n">
        <v>565761</v>
      </c>
      <c r="M62" s="33" t="n">
        <f aca="false">IFERROR(AVERAGEIF(C62:G62,"&gt;0"),0)</f>
        <v>297381.4</v>
      </c>
      <c r="N62" s="34" t="n">
        <f aca="false">IFERROR(AVERAGEIF(H62:K62,"&gt;0"),0)</f>
        <v>805079.75</v>
      </c>
      <c r="O62" s="68" t="n">
        <f aca="false">N62-M62</f>
        <v>507698.35</v>
      </c>
      <c r="P62" s="51" t="n">
        <f aca="false">IFERROR(N62/M62,"n/a")</f>
        <v>2.70722967206422</v>
      </c>
      <c r="Q62" s="69" t="n">
        <f aca="false">IFERROR(N62/$C$3,0)</f>
        <v>0.0072797285215371</v>
      </c>
      <c r="R62" s="69" t="n">
        <f aca="false">IFERROR(O62/$D$4,0)</f>
        <v>0.0115463482127338</v>
      </c>
      <c r="S62" s="78" t="n">
        <f aca="false">IFERROR((Q62+R62)/2,0)</f>
        <v>0.00941303836713545</v>
      </c>
      <c r="T62" s="64" t="n">
        <v>0.956291624819597</v>
      </c>
      <c r="U62" s="40" t="n">
        <f aca="false">IFERROR(POWER(K62/C62,1/8)-1,"n/a")</f>
        <v>0.132622767217919</v>
      </c>
      <c r="V62" s="40" t="n">
        <f aca="false">IFERROR(POWER(K62/H62,1/3)-1,"n/a")</f>
        <v>0.153987283392075</v>
      </c>
      <c r="W62" s="71" t="n">
        <f aca="false">IFERROR(V62-U62,"n/a")</f>
        <v>0.0213645161741567</v>
      </c>
      <c r="X62" s="43" t="n">
        <f aca="false">IFERROR(SLOPE(C62:K62,{1,2,3,4,5,6,7,8,9})/AVERAGEIF(C62:K62,"&gt;0"),"n/a")</f>
        <v>0.187381442913512</v>
      </c>
      <c r="Y62" s="43" t="n">
        <f aca="false">IFERROR(SLOPE(H62:K62,{1,2,3,4})/AVERAGEIF(H62:K62,"&gt;0"),"n/a")</f>
        <v>0.186660141433193</v>
      </c>
      <c r="Z62" s="67" t="n">
        <f aca="false">IFERROR(H62/G62,"n/a")</f>
        <v>1.60582524271845</v>
      </c>
      <c r="AA62" s="67" t="n">
        <f aca="false">IFERROR(H62/F62,"n/a")</f>
        <v>1.87274941159874</v>
      </c>
      <c r="AB62" s="45" t="n">
        <v>0.91728303935107</v>
      </c>
      <c r="AC62" s="47" t="s">
        <v>80</v>
      </c>
      <c r="AD62" s="48" t="n">
        <v>0.025</v>
      </c>
      <c r="AE62" s="49" t="s">
        <v>81</v>
      </c>
    </row>
    <row r="63" customFormat="false" ht="16.5" hidden="false" customHeight="true" outlineLevel="0" collapsed="false">
      <c r="A63" s="94" t="s">
        <v>188</v>
      </c>
      <c r="B63" s="95" t="s">
        <v>189</v>
      </c>
      <c r="C63" s="50" t="s">
        <v>84</v>
      </c>
      <c r="D63" s="30" t="n">
        <v>719816</v>
      </c>
      <c r="E63" s="30" t="n">
        <v>227801</v>
      </c>
      <c r="F63" s="30" t="n">
        <v>1944419</v>
      </c>
      <c r="G63" s="30" t="n">
        <v>2516644</v>
      </c>
      <c r="H63" s="31" t="n">
        <v>1800102</v>
      </c>
      <c r="I63" s="31" t="n">
        <v>2095278</v>
      </c>
      <c r="J63" s="31" t="n">
        <v>748140</v>
      </c>
      <c r="K63" s="31" t="n">
        <v>1422689</v>
      </c>
      <c r="L63" s="32" t="n">
        <v>1066943</v>
      </c>
      <c r="M63" s="33" t="n">
        <f aca="false">IFERROR(AVERAGEIF(C63:G63,"&gt;0"),0)</f>
        <v>1352170</v>
      </c>
      <c r="N63" s="34" t="n">
        <f aca="false">IFERROR(AVERAGEIF(H63:K63,"&gt;0"),0)</f>
        <v>1516552.25</v>
      </c>
      <c r="O63" s="96" t="n">
        <f aca="false">N63-M63</f>
        <v>164382.25</v>
      </c>
      <c r="P63" s="91" t="n">
        <f aca="false">IFERROR(N63/M63,"n/a")</f>
        <v>1.12156921836751</v>
      </c>
      <c r="Q63" s="69" t="n">
        <f aca="false">IFERROR(N63/$C$3,0)</f>
        <v>0.0137130373341601</v>
      </c>
      <c r="R63" s="69" t="n">
        <f aca="false">IFERROR(O63/$D$4,0)</f>
        <v>0.00373846930661221</v>
      </c>
      <c r="S63" s="78" t="n">
        <f aca="false">IFERROR((Q63+R63)/2,0)</f>
        <v>0.00872575332038615</v>
      </c>
      <c r="T63" s="64" t="n">
        <v>0.965344625214323</v>
      </c>
      <c r="U63" s="40" t="str">
        <f aca="false">IFERROR(POWER(K63/C63,1/8)-1,"n/a")</f>
        <v>n/a</v>
      </c>
      <c r="V63" s="58" t="n">
        <f aca="false">IFERROR(POWER(K63/H63,1/3)-1,"n/a")</f>
        <v>-0.0754346363502159</v>
      </c>
      <c r="W63" s="53" t="str">
        <f aca="false">IFERROR(V63-U63,"n/a")</f>
        <v>n/a</v>
      </c>
      <c r="X63" s="43" t="n">
        <f aca="false">IFERROR(SLOPE(C63:K63,{1,2,3,4,5,6,7,8,9})/AVERAGEIF(C63:K63,"&gt;0"),"n/a")</f>
        <v>0.0602378770183269</v>
      </c>
      <c r="Y63" s="59" t="n">
        <f aca="false">IFERROR(SLOPE(H63:K63,{1,2,3,4})/AVERAGEIF(H63:K63,"&gt;0"),"n/a")</f>
        <v>-0.163487740036652</v>
      </c>
      <c r="Z63" s="45" t="n">
        <f aca="false">IFERROR(H63/G63,"n/a")</f>
        <v>0.715278760126581</v>
      </c>
      <c r="AA63" s="45" t="n">
        <f aca="false">IFERROR(H63/F63,"n/a")</f>
        <v>0.925778857334762</v>
      </c>
      <c r="AB63" s="46" t="n">
        <v>0.470886072888905</v>
      </c>
      <c r="AC63" s="47" t="s">
        <v>190</v>
      </c>
      <c r="AD63" s="65" t="n">
        <v>2</v>
      </c>
      <c r="AE63" s="66" t="s">
        <v>191</v>
      </c>
    </row>
    <row r="64" customFormat="false" ht="16.5" hidden="false" customHeight="true" outlineLevel="0" collapsed="false">
      <c r="A64" s="94" t="s">
        <v>192</v>
      </c>
      <c r="B64" s="95" t="s">
        <v>193</v>
      </c>
      <c r="C64" s="50" t="s">
        <v>84</v>
      </c>
      <c r="D64" s="30" t="n">
        <v>1939</v>
      </c>
      <c r="E64" s="50" t="s">
        <v>84</v>
      </c>
      <c r="F64" s="50" t="s">
        <v>84</v>
      </c>
      <c r="G64" s="30" t="n">
        <v>315</v>
      </c>
      <c r="H64" s="31" t="n">
        <v>106530</v>
      </c>
      <c r="I64" s="31" t="n">
        <v>229699</v>
      </c>
      <c r="J64" s="31" t="n">
        <v>272899</v>
      </c>
      <c r="K64" s="31" t="n">
        <v>912126</v>
      </c>
      <c r="L64" s="32" t="n">
        <v>83439</v>
      </c>
      <c r="M64" s="33" t="n">
        <f aca="false">IFERROR(AVERAGEIF(C64:G64,"&gt;0"),0)</f>
        <v>1127</v>
      </c>
      <c r="N64" s="34" t="n">
        <f aca="false">IFERROR(AVERAGEIF(H64:K64,"&gt;0"),0)</f>
        <v>380313.5</v>
      </c>
      <c r="O64" s="68" t="n">
        <f aca="false">N64-M64</f>
        <v>379186.5</v>
      </c>
      <c r="P64" s="51" t="n">
        <f aca="false">IFERROR(N64/M64,"n/a")</f>
        <v>337.45652173913</v>
      </c>
      <c r="Q64" s="69" t="n">
        <f aca="false">IFERROR(N64/$C$3,0)</f>
        <v>0.00343888792765636</v>
      </c>
      <c r="R64" s="69" t="n">
        <f aca="false">IFERROR(O64/$D$4,0)</f>
        <v>0.00862366278434387</v>
      </c>
      <c r="S64" s="78" t="n">
        <f aca="false">IFERROR((Q64+R64)/2,0)</f>
        <v>0.00603127535600011</v>
      </c>
      <c r="T64" s="64" t="n">
        <v>0.971457965979021</v>
      </c>
      <c r="U64" s="41" t="str">
        <f aca="false">IFERROR(POWER(K64/C64,1/8)-1,"n/a")</f>
        <v>n/a</v>
      </c>
      <c r="V64" s="41" t="n">
        <f aca="false">IFERROR(POWER(K64/H64,1/3)-1,"n/a")</f>
        <v>1.04578961396398</v>
      </c>
      <c r="W64" s="53" t="str">
        <f aca="false">IFERROR(V64-U64,"n/a")</f>
        <v>n/a</v>
      </c>
      <c r="X64" s="43" t="n">
        <f aca="false">IFERROR(SLOPE(C64:K64,{1,2,3,4,5,6,7,8,9})/AVERAGEIF(C64:K64,"&gt;0"),"n/a")</f>
        <v>0.415101363858049</v>
      </c>
      <c r="Y64" s="43" t="n">
        <f aca="false">IFERROR(SLOPE(H64:K64,{1,2,3,4})/AVERAGEIF(H64:K64,"&gt;0"),"n/a")</f>
        <v>0.646831627065566</v>
      </c>
      <c r="Z64" s="54" t="n">
        <f aca="false">IFERROR(H64/G64,"n/a")</f>
        <v>338.190476190476</v>
      </c>
      <c r="AA64" s="45" t="str">
        <f aca="false">IFERROR(H64/F64,"n/a")</f>
        <v>n/a</v>
      </c>
      <c r="AB64" s="46" t="n">
        <v>0.134021011612788</v>
      </c>
      <c r="AC64" s="47" t="s">
        <v>172</v>
      </c>
      <c r="AD64" s="65" t="n">
        <v>0.15</v>
      </c>
      <c r="AE64" s="66" t="s">
        <v>173</v>
      </c>
    </row>
    <row r="65" customFormat="false" ht="16.5" hidden="false" customHeight="true" outlineLevel="0" collapsed="false">
      <c r="A65" s="94" t="s">
        <v>194</v>
      </c>
      <c r="B65" s="95" t="s">
        <v>195</v>
      </c>
      <c r="C65" s="30" t="n">
        <v>565097</v>
      </c>
      <c r="D65" s="30" t="n">
        <v>350253</v>
      </c>
      <c r="E65" s="30" t="n">
        <v>527704</v>
      </c>
      <c r="F65" s="30" t="n">
        <v>510320</v>
      </c>
      <c r="G65" s="30" t="n">
        <v>641158</v>
      </c>
      <c r="H65" s="31" t="n">
        <v>554250</v>
      </c>
      <c r="I65" s="31" t="n">
        <v>491803</v>
      </c>
      <c r="J65" s="31" t="n">
        <v>669855</v>
      </c>
      <c r="K65" s="31" t="n">
        <v>540750</v>
      </c>
      <c r="L65" s="32" t="n">
        <v>392640</v>
      </c>
      <c r="M65" s="33" t="n">
        <f aca="false">IFERROR(AVERAGEIF(C65:G65,"&gt;0"),0)</f>
        <v>518906.4</v>
      </c>
      <c r="N65" s="34" t="n">
        <f aca="false">IFERROR(AVERAGEIF(H65:K65,"&gt;0"),0)</f>
        <v>564164.5</v>
      </c>
      <c r="O65" s="87" t="n">
        <f aca="false">N65-M65</f>
        <v>45258.1</v>
      </c>
      <c r="P65" s="91" t="n">
        <f aca="false">IFERROR(N65/M65,"n/a")</f>
        <v>1.08721823434824</v>
      </c>
      <c r="Q65" s="69" t="n">
        <f aca="false">IFERROR(N65/$C$3,0)</f>
        <v>0.00510131375368554</v>
      </c>
      <c r="R65" s="69" t="n">
        <f aca="false">IFERROR(O65/$D$4,0)</f>
        <v>0.0010292839873258</v>
      </c>
      <c r="S65" s="78" t="n">
        <f aca="false">IFERROR((Q65+R65)/2,0)</f>
        <v>0.00306529887050567</v>
      </c>
      <c r="T65" s="64" t="n">
        <v>0.97464500228526</v>
      </c>
      <c r="U65" s="58" t="n">
        <f aca="false">IFERROR(POWER(K65/C65,1/8)-1,"n/a")</f>
        <v>-0.00548991664982779</v>
      </c>
      <c r="V65" s="58" t="n">
        <f aca="false">IFERROR(POWER(K65/H65,1/3)-1,"n/a")</f>
        <v>-0.00818590605223013</v>
      </c>
      <c r="W65" s="53" t="n">
        <f aca="false">IFERROR(V65-U65,"n/a")</f>
        <v>-0.00269598940240234</v>
      </c>
      <c r="X65" s="43" t="n">
        <f aca="false">IFERROR(SLOPE(C65:K65,{1,2,3,4,5,6,7,8,9})/AVERAGEIF(C65:K65,"&gt;0"),"n/a")</f>
        <v>0.0257734494010748</v>
      </c>
      <c r="Y65" s="43" t="n">
        <f aca="false">IFERROR(SLOPE(H65:K65,{1,2,3,4})/AVERAGEIF(H65:K65,"&gt;0"),"n/a")</f>
        <v>0.0243815411994197</v>
      </c>
      <c r="Z65" s="45" t="n">
        <f aca="false">IFERROR(H65/G65,"n/a")</f>
        <v>0.864451508052617</v>
      </c>
      <c r="AA65" s="45" t="n">
        <f aca="false">IFERROR(H65/F65,"n/a")</f>
        <v>1.08608324188744</v>
      </c>
      <c r="AB65" s="46" t="n">
        <v>0.678280891477574</v>
      </c>
      <c r="AC65" s="47" t="s">
        <v>101</v>
      </c>
      <c r="AD65" s="48" t="n">
        <v>0.0325</v>
      </c>
      <c r="AE65" s="49" t="s">
        <v>102</v>
      </c>
    </row>
    <row r="66" customFormat="false" ht="16.5" hidden="false" customHeight="true" outlineLevel="0" collapsed="false">
      <c r="A66" s="94" t="s">
        <v>196</v>
      </c>
      <c r="B66" s="95" t="s">
        <v>197</v>
      </c>
      <c r="C66" s="30" t="n">
        <v>150134</v>
      </c>
      <c r="D66" s="30" t="n">
        <v>267659</v>
      </c>
      <c r="E66" s="30" t="n">
        <v>208319</v>
      </c>
      <c r="F66" s="30" t="n">
        <v>339877</v>
      </c>
      <c r="G66" s="30" t="n">
        <v>290278</v>
      </c>
      <c r="H66" s="31" t="n">
        <v>342759</v>
      </c>
      <c r="I66" s="31" t="n">
        <v>314427</v>
      </c>
      <c r="J66" s="31" t="n">
        <v>447845</v>
      </c>
      <c r="K66" s="31" t="n">
        <v>356788</v>
      </c>
      <c r="L66" s="32" t="n">
        <v>668091</v>
      </c>
      <c r="M66" s="33" t="n">
        <f aca="false">IFERROR(AVERAGEIF(C66:G66,"&gt;0"),0)</f>
        <v>251253.4</v>
      </c>
      <c r="N66" s="34" t="n">
        <f aca="false">IFERROR(AVERAGEIF(H66:K66,"&gt;0"),0)</f>
        <v>365454.75</v>
      </c>
      <c r="O66" s="96" t="n">
        <f aca="false">N66-M66</f>
        <v>114201.35</v>
      </c>
      <c r="P66" s="36" t="n">
        <f aca="false">IFERROR(N66/M66,"n/a")</f>
        <v>1.45452658551088</v>
      </c>
      <c r="Q66" s="69" t="n">
        <f aca="false">IFERROR(N66/$C$3,0)</f>
        <v>0.00330453146648666</v>
      </c>
      <c r="R66" s="69" t="n">
        <f aca="false">IFERROR(O66/$D$4,0)</f>
        <v>0.00259722836102242</v>
      </c>
      <c r="S66" s="78" t="n">
        <f aca="false">IFERROR((Q66+R66)/2,0)</f>
        <v>0.00295087991375454</v>
      </c>
      <c r="T66" s="64" t="n">
        <v>0.977674741333437</v>
      </c>
      <c r="U66" s="40" t="n">
        <f aca="false">IFERROR(POWER(K66/C66,1/8)-1,"n/a")</f>
        <v>0.11427246301228</v>
      </c>
      <c r="V66" s="70" t="n">
        <f aca="false">IFERROR(POWER(K66/H66,1/3)-1,"n/a")</f>
        <v>0.013461194105014</v>
      </c>
      <c r="W66" s="53" t="n">
        <f aca="false">IFERROR(V66-U66,"n/a")</f>
        <v>-0.100811268907266</v>
      </c>
      <c r="X66" s="43" t="n">
        <f aca="false">IFERROR(SLOPE(C66:K66,{1,2,3,4,5,6,7,8,9})/AVERAGEIF(C66:K66,"&gt;0"),"n/a")</f>
        <v>0.0873190914489093</v>
      </c>
      <c r="Y66" s="43" t="n">
        <f aca="false">IFERROR(SLOPE(H66:K66,{1,2,3,4})/AVERAGEIF(H66:K66,"&gt;0"),"n/a")</f>
        <v>0.0480237293399525</v>
      </c>
      <c r="Z66" s="44" t="n">
        <f aca="false">IFERROR(H66/G66,"n/a")</f>
        <v>1.18079565106553</v>
      </c>
      <c r="AA66" s="45" t="n">
        <f aca="false">IFERROR(H66/F66,"n/a")</f>
        <v>1.00847953818587</v>
      </c>
      <c r="AB66" s="56" t="n">
        <v>2.57360361759333</v>
      </c>
      <c r="AC66" s="47" t="s">
        <v>135</v>
      </c>
      <c r="AD66" s="65" t="n">
        <v>0.25</v>
      </c>
      <c r="AE66" s="66" t="s">
        <v>136</v>
      </c>
    </row>
    <row r="67" customFormat="false" ht="16.5" hidden="false" customHeight="true" outlineLevel="0" collapsed="false">
      <c r="A67" s="94" t="s">
        <v>198</v>
      </c>
      <c r="B67" s="95" t="s">
        <v>199</v>
      </c>
      <c r="C67" s="50" t="s">
        <v>84</v>
      </c>
      <c r="D67" s="30" t="n">
        <v>27675</v>
      </c>
      <c r="E67" s="30" t="n">
        <v>35083</v>
      </c>
      <c r="F67" s="30" t="n">
        <v>84340</v>
      </c>
      <c r="G67" s="30" t="n">
        <v>144049</v>
      </c>
      <c r="H67" s="31" t="n">
        <v>248479</v>
      </c>
      <c r="I67" s="31" t="n">
        <v>208731</v>
      </c>
      <c r="J67" s="31" t="n">
        <v>148896</v>
      </c>
      <c r="K67" s="31" t="n">
        <v>308193</v>
      </c>
      <c r="L67" s="32" t="n">
        <v>473875</v>
      </c>
      <c r="M67" s="33" t="n">
        <f aca="false">IFERROR(AVERAGEIF(C67:G67,"&gt;0"),0)</f>
        <v>72786.75</v>
      </c>
      <c r="N67" s="34" t="n">
        <f aca="false">IFERROR(AVERAGEIF(H67:K67,"&gt;0"),0)</f>
        <v>228574.75</v>
      </c>
      <c r="O67" s="96" t="n">
        <f aca="false">N67-M67</f>
        <v>155788</v>
      </c>
      <c r="P67" s="51" t="n">
        <f aca="false">IFERROR(N67/M67,"n/a")</f>
        <v>3.14033460760372</v>
      </c>
      <c r="Q67" s="69" t="n">
        <f aca="false">IFERROR(N67/$C$3,0)</f>
        <v>0.00206682894070831</v>
      </c>
      <c r="R67" s="69" t="n">
        <f aca="false">IFERROR(O67/$D$4,0)</f>
        <v>0.0035430142630272</v>
      </c>
      <c r="S67" s="78" t="n">
        <f aca="false">IFERROR((Q67+R67)/2,0)</f>
        <v>0.00280492160186775</v>
      </c>
      <c r="T67" s="64" t="n">
        <v>0.980528985613245</v>
      </c>
      <c r="U67" s="41" t="str">
        <f aca="false">IFERROR(POWER(K67/C67,1/8)-1,"n/a")</f>
        <v>n/a</v>
      </c>
      <c r="V67" s="40" t="n">
        <f aca="false">IFERROR(POWER(K67/H67,1/3)-1,"n/a")</f>
        <v>0.0744289291465088</v>
      </c>
      <c r="W67" s="53" t="str">
        <f aca="false">IFERROR(V67-U67,"n/a")</f>
        <v>n/a</v>
      </c>
      <c r="X67" s="43" t="n">
        <f aca="false">IFERROR(SLOPE(C67:K67,{1,2,3,4,5,6,7,8,9})/AVERAGEIF(C67:K67,"&gt;0"),"n/a")</f>
        <v>0.237832857437551</v>
      </c>
      <c r="Y67" s="43" t="n">
        <f aca="false">IFERROR(SLOPE(H67:K67,{1,2,3,4})/AVERAGEIF(H67:K67,"&gt;0"),"n/a")</f>
        <v>0.0521960540260899</v>
      </c>
      <c r="Z67" s="67" t="n">
        <f aca="false">IFERROR(H67/G67,"n/a")</f>
        <v>1.7249616449958</v>
      </c>
      <c r="AA67" s="67" t="n">
        <f aca="false">IFERROR(H67/F67,"n/a")</f>
        <v>2.94615840645008</v>
      </c>
      <c r="AB67" s="56" t="n">
        <v>2.93537526199489</v>
      </c>
      <c r="AC67" s="47" t="s">
        <v>80</v>
      </c>
      <c r="AD67" s="48" t="n">
        <v>0.025</v>
      </c>
      <c r="AE67" s="49" t="s">
        <v>81</v>
      </c>
    </row>
    <row r="68" customFormat="false" ht="16.5" hidden="false" customHeight="true" outlineLevel="0" collapsed="false">
      <c r="A68" s="94" t="s">
        <v>200</v>
      </c>
      <c r="B68" s="95" t="s">
        <v>201</v>
      </c>
      <c r="C68" s="30" t="n">
        <v>24599</v>
      </c>
      <c r="D68" s="30" t="n">
        <v>16191</v>
      </c>
      <c r="E68" s="50" t="s">
        <v>84</v>
      </c>
      <c r="F68" s="50" t="s">
        <v>84</v>
      </c>
      <c r="G68" s="50" t="s">
        <v>84</v>
      </c>
      <c r="H68" s="50" t="s">
        <v>84</v>
      </c>
      <c r="I68" s="50" t="s">
        <v>84</v>
      </c>
      <c r="J68" s="50" t="s">
        <v>84</v>
      </c>
      <c r="K68" s="31" t="n">
        <v>178000</v>
      </c>
      <c r="L68" s="50" t="s">
        <v>84</v>
      </c>
      <c r="M68" s="33" t="n">
        <f aca="false">IFERROR(AVERAGEIF(C68:G68,"&gt;0"),0)</f>
        <v>20395</v>
      </c>
      <c r="N68" s="34" t="n">
        <f aca="false">IFERROR(AVERAGEIF(H68:K68,"&gt;0"),0)</f>
        <v>178000</v>
      </c>
      <c r="O68" s="96" t="n">
        <f aca="false">N68-M68</f>
        <v>157605</v>
      </c>
      <c r="P68" s="51" t="n">
        <f aca="false">IFERROR(N68/M68,"n/a")</f>
        <v>8.72762932091199</v>
      </c>
      <c r="Q68" s="69" t="n">
        <f aca="false">IFERROR(N68/$C$3,0)</f>
        <v>0.0016095196492442</v>
      </c>
      <c r="R68" s="69" t="n">
        <f aca="false">IFERROR(O68/$D$4,0)</f>
        <v>0.00358433745169334</v>
      </c>
      <c r="S68" s="78" t="n">
        <f aca="false">IFERROR((Q68+R68)/2,0)</f>
        <v>0.00259692855046877</v>
      </c>
      <c r="T68" s="64" t="n">
        <v>0.983164323641021</v>
      </c>
      <c r="U68" s="41" t="n">
        <f aca="false">IFERROR(POWER(K68/C68,1/8)-1,"n/a")</f>
        <v>0.280671717811735</v>
      </c>
      <c r="V68" s="70" t="str">
        <f aca="false">IFERROR(POWER(K68/H68,1/3)-1,"n/a")</f>
        <v>n/a</v>
      </c>
      <c r="W68" s="90" t="str">
        <f aca="false">IFERROR(V68-U68,"n/a")</f>
        <v>n/a</v>
      </c>
      <c r="X68" s="43" t="n">
        <f aca="false">IFERROR(SLOPE(C68:K68,{1,2,3,4,5,6,7,8,9})/AVERAGEIF(C68:K68,"&gt;0"),"n/a")</f>
        <v>0.282831049239718</v>
      </c>
      <c r="Y68" s="88" t="str">
        <f aca="false">IFERROR(SLOPE(H68:K68,{1,2,3,4})/AVERAGEIF(H68:K68,"&gt;0"),"n/a")</f>
        <v>n/a</v>
      </c>
      <c r="Z68" s="45" t="str">
        <f aca="false">IFERROR(H68/G68,"n/a")</f>
        <v>n/a</v>
      </c>
      <c r="AA68" s="45" t="str">
        <f aca="false">IFERROR(H68/F68,"n/a")</f>
        <v>n/a</v>
      </c>
      <c r="AB68" s="46" t="n">
        <v>0.108252808988764</v>
      </c>
      <c r="AC68" s="47" t="s">
        <v>80</v>
      </c>
      <c r="AD68" s="48" t="n">
        <v>0.025</v>
      </c>
      <c r="AE68" s="49" t="s">
        <v>81</v>
      </c>
    </row>
    <row r="69" customFormat="false" ht="16.5" hidden="false" customHeight="true" outlineLevel="0" collapsed="false">
      <c r="A69" s="94" t="s">
        <v>202</v>
      </c>
      <c r="B69" s="95" t="s">
        <v>203</v>
      </c>
      <c r="C69" s="30" t="n">
        <v>79913</v>
      </c>
      <c r="D69" s="30" t="n">
        <v>377245</v>
      </c>
      <c r="E69" s="30" t="n">
        <v>247964</v>
      </c>
      <c r="F69" s="30" t="n">
        <v>56983</v>
      </c>
      <c r="G69" s="30" t="n">
        <v>5760</v>
      </c>
      <c r="H69" s="50" t="s">
        <v>84</v>
      </c>
      <c r="I69" s="31" t="n">
        <v>255552</v>
      </c>
      <c r="J69" s="31" t="n">
        <v>228787</v>
      </c>
      <c r="K69" s="50" t="s">
        <v>84</v>
      </c>
      <c r="L69" s="32" t="n">
        <v>8850</v>
      </c>
      <c r="M69" s="33" t="n">
        <f aca="false">IFERROR(AVERAGEIF(C69:G69,"&gt;0"),0)</f>
        <v>153573</v>
      </c>
      <c r="N69" s="34" t="n">
        <f aca="false">IFERROR(AVERAGEIF(H69:K69,"&gt;0"),0)</f>
        <v>242169.5</v>
      </c>
      <c r="O69" s="96" t="n">
        <f aca="false">N69-M69</f>
        <v>88596.5</v>
      </c>
      <c r="P69" s="36" t="n">
        <f aca="false">IFERROR(N69/M69,"n/a")</f>
        <v>1.57690153868193</v>
      </c>
      <c r="Q69" s="69" t="n">
        <f aca="false">IFERROR(N69/$C$3,0)</f>
        <v>0.00218975600391934</v>
      </c>
      <c r="R69" s="69" t="n">
        <f aca="false">IFERROR(O69/$D$4,0)</f>
        <v>0.00201490912749563</v>
      </c>
      <c r="S69" s="78" t="n">
        <f aca="false">IFERROR((Q69+R69)/2,0)</f>
        <v>0.00210233256570748</v>
      </c>
      <c r="T69" s="64" t="n">
        <v>0.985318912408498</v>
      </c>
      <c r="U69" s="40" t="str">
        <f aca="false">IFERROR(POWER(K69/C69,1/8)-1,"n/a")</f>
        <v>n/a</v>
      </c>
      <c r="V69" s="58" t="str">
        <f aca="false">IFERROR(POWER(K69/H69,1/3)-1,"n/a")</f>
        <v>n/a</v>
      </c>
      <c r="W69" s="53" t="str">
        <f aca="false">IFERROR(V69-U69,"n/a")</f>
        <v>n/a</v>
      </c>
      <c r="X69" s="59" t="n">
        <f aca="false">IFERROR(SLOPE(C69:K69,{1,2,3,4,5,6,7,8,9})/AVERAGEIF(C69:K69,"&gt;0"),"n/a")</f>
        <v>0.0124196176721494</v>
      </c>
      <c r="Y69" s="88" t="n">
        <f aca="false">IFERROR(SLOPE(H69:K69,{1,2,3,4})/AVERAGEIF(H69:K69,"&gt;0"),"n/a")</f>
        <v>-0.110521762649714</v>
      </c>
      <c r="Z69" s="45" t="str">
        <f aca="false">IFERROR(H69/G69,"n/a")</f>
        <v>n/a</v>
      </c>
      <c r="AA69" s="45" t="str">
        <f aca="false">IFERROR(H69/F69,"n/a")</f>
        <v>n/a</v>
      </c>
      <c r="AB69" s="46" t="n">
        <v>0.316513846706542</v>
      </c>
      <c r="AC69" s="47" t="s">
        <v>135</v>
      </c>
      <c r="AD69" s="65" t="n">
        <v>0.25</v>
      </c>
      <c r="AE69" s="66" t="s">
        <v>136</v>
      </c>
    </row>
    <row r="70" customFormat="false" ht="16.5" hidden="false" customHeight="true" outlineLevel="0" collapsed="false">
      <c r="A70" s="94" t="s">
        <v>204</v>
      </c>
      <c r="B70" s="95" t="s">
        <v>205</v>
      </c>
      <c r="C70" s="50" t="s">
        <v>84</v>
      </c>
      <c r="D70" s="30" t="n">
        <v>30513</v>
      </c>
      <c r="E70" s="30" t="n">
        <v>15722</v>
      </c>
      <c r="F70" s="30" t="n">
        <v>57104</v>
      </c>
      <c r="G70" s="30" t="n">
        <v>154345</v>
      </c>
      <c r="H70" s="31" t="n">
        <v>385245</v>
      </c>
      <c r="I70" s="31" t="n">
        <v>230288</v>
      </c>
      <c r="J70" s="31" t="n">
        <v>14474</v>
      </c>
      <c r="K70" s="31" t="n">
        <v>12006</v>
      </c>
      <c r="L70" s="32" t="n">
        <v>7941</v>
      </c>
      <c r="M70" s="33" t="n">
        <f aca="false">IFERROR(AVERAGEIF(C70:G70,"&gt;0"),0)</f>
        <v>64421</v>
      </c>
      <c r="N70" s="34" t="n">
        <f aca="false">IFERROR(AVERAGEIF(H70:K70,"&gt;0"),0)</f>
        <v>160503.25</v>
      </c>
      <c r="O70" s="96" t="n">
        <f aca="false">N70-M70</f>
        <v>96082.25</v>
      </c>
      <c r="P70" s="51" t="n">
        <f aca="false">IFERROR(N70/M70,"n/a")</f>
        <v>2.49147405349187</v>
      </c>
      <c r="Q70" s="69" t="n">
        <f aca="false">IFERROR(N70/$C$3,0)</f>
        <v>0.00145130974518288</v>
      </c>
      <c r="R70" s="69" t="n">
        <f aca="false">IFERROR(O70/$D$4,0)</f>
        <v>0.00218515406946456</v>
      </c>
      <c r="S70" s="78" t="n">
        <f aca="false">IFERROR((Q70+R70)/2,0)</f>
        <v>0.00181823190732372</v>
      </c>
      <c r="T70" s="64" t="n">
        <v>0.987171778281769</v>
      </c>
      <c r="U70" s="58" t="str">
        <f aca="false">IFERROR(POWER(K70/C70,1/8)-1,"n/a")</f>
        <v>n/a</v>
      </c>
      <c r="V70" s="58" t="n">
        <f aca="false">IFERROR(POWER(K70/H70,1/3)-1,"n/a")</f>
        <v>-0.685306980594379</v>
      </c>
      <c r="W70" s="53" t="str">
        <f aca="false">IFERROR(V70-U70,"n/a")</f>
        <v>n/a</v>
      </c>
      <c r="X70" s="43" t="n">
        <f aca="false">IFERROR(SLOPE(C70:K70,{1,2,3,4,5,6,7,8,9})/AVERAGEIF(C70:K70,"&gt;0"),"n/a")</f>
        <v>0.0650656091254426</v>
      </c>
      <c r="Y70" s="59" t="n">
        <f aca="false">IFERROR(SLOPE(H70:K70,{1,2,3,4})/AVERAGEIF(H70:K70,"&gt;0"),"n/a")</f>
        <v>-0.832089692887839</v>
      </c>
      <c r="Z70" s="80" t="n">
        <f aca="false">IFERROR(H70/G70,"n/a")</f>
        <v>2.49599922252098</v>
      </c>
      <c r="AA70" s="55" t="n">
        <f aca="false">IFERROR(H70/F70,"n/a")</f>
        <v>6.74637503502382</v>
      </c>
      <c r="AB70" s="46" t="n">
        <v>0.055446436962076</v>
      </c>
      <c r="AC70" s="47" t="s">
        <v>80</v>
      </c>
      <c r="AD70" s="48" t="n">
        <v>0.025</v>
      </c>
      <c r="AE70" s="49" t="s">
        <v>81</v>
      </c>
    </row>
    <row r="71" customFormat="false" ht="16.5" hidden="false" customHeight="true" outlineLevel="0" collapsed="false">
      <c r="A71" s="94" t="s">
        <v>206</v>
      </c>
      <c r="B71" s="95" t="s">
        <v>207</v>
      </c>
      <c r="C71" s="50" t="s">
        <v>84</v>
      </c>
      <c r="D71" s="50" t="s">
        <v>84</v>
      </c>
      <c r="E71" s="50" t="s">
        <v>84</v>
      </c>
      <c r="F71" s="50" t="s">
        <v>84</v>
      </c>
      <c r="G71" s="30" t="n">
        <v>58151</v>
      </c>
      <c r="H71" s="31" t="n">
        <v>6865</v>
      </c>
      <c r="I71" s="31" t="n">
        <v>139792</v>
      </c>
      <c r="J71" s="31" t="n">
        <v>222589</v>
      </c>
      <c r="K71" s="31" t="n">
        <v>164118</v>
      </c>
      <c r="L71" s="32" t="n">
        <v>129027</v>
      </c>
      <c r="M71" s="33" t="n">
        <f aca="false">IFERROR(AVERAGEIF(C71:G71,"&gt;0"),0)</f>
        <v>58151</v>
      </c>
      <c r="N71" s="34" t="n">
        <f aca="false">IFERROR(AVERAGEIF(H71:K71,"&gt;0"),0)</f>
        <v>133341</v>
      </c>
      <c r="O71" s="96" t="n">
        <f aca="false">N71-M71</f>
        <v>75190</v>
      </c>
      <c r="P71" s="51" t="n">
        <f aca="false">IFERROR(N71/M71,"n/a")</f>
        <v>2.29301301783288</v>
      </c>
      <c r="Q71" s="69" t="n">
        <f aca="false">IFERROR(N71/$C$3,0)</f>
        <v>0.00120570201994309</v>
      </c>
      <c r="R71" s="69" t="n">
        <f aca="false">IFERROR(O71/$D$4,0)</f>
        <v>0.00171001131304731</v>
      </c>
      <c r="S71" s="78" t="n">
        <f aca="false">IFERROR((Q71+R71)/2,0)</f>
        <v>0.0014578566664952</v>
      </c>
      <c r="T71" s="64" t="n">
        <v>0.988658407746656</v>
      </c>
      <c r="U71" s="41" t="str">
        <f aca="false">IFERROR(POWER(K71/C71,1/8)-1,"n/a")</f>
        <v>n/a</v>
      </c>
      <c r="V71" s="41" t="n">
        <f aca="false">IFERROR(POWER(K71/H71,1/3)-1,"n/a")</f>
        <v>1.88074770628883</v>
      </c>
      <c r="W71" s="42" t="str">
        <f aca="false">IFERROR(V71-U71,"n/a")</f>
        <v>n/a</v>
      </c>
      <c r="X71" s="43" t="n">
        <f aca="false">IFERROR(SLOPE(C71:K71,{1,2,3,4,5,6,7,8,9})/AVERAGEIF(C71:K71,"&gt;0"),"n/a")</f>
        <v>0.361493791366238</v>
      </c>
      <c r="Y71" s="43" t="n">
        <f aca="false">IFERROR(SLOPE(H71:K71,{1,2,3,4})/AVERAGEIF(H71:K71,"&gt;0"),"n/a")</f>
        <v>0.415893086147547</v>
      </c>
      <c r="Z71" s="45" t="n">
        <f aca="false">IFERROR(H71/G71,"n/a")</f>
        <v>0.118054719609293</v>
      </c>
      <c r="AA71" s="45" t="str">
        <f aca="false">IFERROR(H71/F71,"n/a")</f>
        <v>n/a</v>
      </c>
      <c r="AB71" s="56" t="n">
        <v>2.73685013111746</v>
      </c>
      <c r="AC71" s="47" t="s">
        <v>172</v>
      </c>
      <c r="AD71" s="65" t="n">
        <v>0.15</v>
      </c>
      <c r="AE71" s="66" t="s">
        <v>173</v>
      </c>
    </row>
    <row r="72" customFormat="false" ht="16.5" hidden="false" customHeight="true" outlineLevel="0" collapsed="false">
      <c r="A72" s="94" t="s">
        <v>208</v>
      </c>
      <c r="B72" s="95" t="s">
        <v>209</v>
      </c>
      <c r="C72" s="30" t="n">
        <v>10548</v>
      </c>
      <c r="D72" s="30" t="n">
        <v>4208</v>
      </c>
      <c r="E72" s="30" t="n">
        <v>7609</v>
      </c>
      <c r="F72" s="50" t="s">
        <v>84</v>
      </c>
      <c r="G72" s="50" t="s">
        <v>84</v>
      </c>
      <c r="H72" s="50" t="s">
        <v>84</v>
      </c>
      <c r="I72" s="31" t="n">
        <v>7684</v>
      </c>
      <c r="J72" s="31" t="n">
        <v>8177</v>
      </c>
      <c r="K72" s="31" t="n">
        <v>228490</v>
      </c>
      <c r="L72" s="32" t="n">
        <v>217988</v>
      </c>
      <c r="M72" s="33" t="n">
        <f aca="false">IFERROR(AVERAGEIF(C72:G72,"&gt;0"),0)</f>
        <v>7455</v>
      </c>
      <c r="N72" s="34" t="n">
        <f aca="false">IFERROR(AVERAGEIF(H72:K72,"&gt;0"),0)</f>
        <v>81450.3333333333</v>
      </c>
      <c r="O72" s="96" t="n">
        <f aca="false">N72-M72</f>
        <v>73995.3333333333</v>
      </c>
      <c r="P72" s="51" t="n">
        <f aca="false">IFERROR(N72/M72,"n/a")</f>
        <v>10.9255980326403</v>
      </c>
      <c r="Q72" s="69" t="n">
        <f aca="false">IFERROR(N72/$C$3,0)</f>
        <v>0.000736493887289267</v>
      </c>
      <c r="R72" s="69" t="n">
        <f aca="false">IFERROR(O72/$D$4,0)</f>
        <v>0.00168284156287681</v>
      </c>
      <c r="S72" s="78" t="n">
        <f aca="false">IFERROR((Q72+R72)/2,0)</f>
        <v>0.00120966772508304</v>
      </c>
      <c r="T72" s="64" t="n">
        <v>0.989885651116289</v>
      </c>
      <c r="U72" s="41" t="n">
        <f aca="false">IFERROR(POWER(K72/C72,1/8)-1,"n/a")</f>
        <v>0.468798209926189</v>
      </c>
      <c r="V72" s="41" t="str">
        <f aca="false">IFERROR(POWER(K72/H72,1/3)-1,"n/a")</f>
        <v>n/a</v>
      </c>
      <c r="W72" s="42" t="str">
        <f aca="false">IFERROR(V72-U72,"n/a")</f>
        <v>n/a</v>
      </c>
      <c r="X72" s="43" t="n">
        <f aca="false">IFERROR(SLOPE(C72:K72,{1,2,3,4,5,6,7,8,9})/AVERAGEIF(C72:K72,"&gt;0"),"n/a")</f>
        <v>0.342799728601933</v>
      </c>
      <c r="Y72" s="43" t="n">
        <f aca="false">IFERROR(SLOPE(H72:K72,{1,2,3,4})/AVERAGEIF(H72:K72,"&gt;0"),"n/a")</f>
        <v>1.35546406603615</v>
      </c>
      <c r="Z72" s="45" t="str">
        <f aca="false">IFERROR(H72/G72,"n/a")</f>
        <v>n/a</v>
      </c>
      <c r="AA72" s="45" t="str">
        <f aca="false">IFERROR(H72/F72,"n/a")</f>
        <v>n/a</v>
      </c>
      <c r="AB72" s="56" t="n">
        <v>1.26513089776592</v>
      </c>
      <c r="AC72" s="47" t="s">
        <v>172</v>
      </c>
      <c r="AD72" s="65" t="n">
        <v>0.15</v>
      </c>
      <c r="AE72" s="66" t="s">
        <v>173</v>
      </c>
    </row>
    <row r="73" customFormat="false" ht="16.5" hidden="false" customHeight="true" outlineLevel="0" collapsed="false">
      <c r="A73" s="94" t="s">
        <v>210</v>
      </c>
      <c r="B73" s="95" t="s">
        <v>211</v>
      </c>
      <c r="C73" s="30" t="n">
        <v>1356</v>
      </c>
      <c r="D73" s="30" t="n">
        <v>2878</v>
      </c>
      <c r="E73" s="30" t="n">
        <v>29105</v>
      </c>
      <c r="F73" s="50" t="s">
        <v>84</v>
      </c>
      <c r="G73" s="30" t="n">
        <v>174</v>
      </c>
      <c r="H73" s="31" t="n">
        <v>12972</v>
      </c>
      <c r="I73" s="31" t="n">
        <v>7414</v>
      </c>
      <c r="J73" s="31" t="n">
        <v>113525</v>
      </c>
      <c r="K73" s="31" t="n">
        <v>182549</v>
      </c>
      <c r="L73" s="32" t="n">
        <v>194433</v>
      </c>
      <c r="M73" s="33" t="n">
        <f aca="false">IFERROR(AVERAGEIF(C73:G73,"&gt;0"),0)</f>
        <v>8378.25</v>
      </c>
      <c r="N73" s="34" t="n">
        <f aca="false">IFERROR(AVERAGEIF(H73:K73,"&gt;0"),0)</f>
        <v>79115</v>
      </c>
      <c r="O73" s="96" t="n">
        <f aca="false">N73-M73</f>
        <v>70736.75</v>
      </c>
      <c r="P73" s="51" t="n">
        <f aca="false">IFERROR(N73/M73,"n/a")</f>
        <v>9.44290275415511</v>
      </c>
      <c r="Q73" s="69" t="n">
        <f aca="false">IFERROR(N73/$C$3,0)</f>
        <v>0.000715377230617722</v>
      </c>
      <c r="R73" s="69" t="n">
        <f aca="false">IFERROR(O73/$D$4,0)</f>
        <v>0.00160873311275701</v>
      </c>
      <c r="S73" s="78" t="n">
        <f aca="false">IFERROR((Q73+R73)/2,0)</f>
        <v>0.00116205517168737</v>
      </c>
      <c r="T73" s="64" t="n">
        <v>0.991064778005938</v>
      </c>
      <c r="U73" s="41" t="n">
        <f aca="false">IFERROR(POWER(K73/C73,1/8)-1,"n/a")</f>
        <v>0.845610154887781</v>
      </c>
      <c r="V73" s="41" t="n">
        <f aca="false">IFERROR(POWER(K73/H73,1/3)-1,"n/a")</f>
        <v>1.41429780430975</v>
      </c>
      <c r="W73" s="42" t="n">
        <f aca="false">IFERROR(V73-U73,"n/a")</f>
        <v>0.568687649421974</v>
      </c>
      <c r="X73" s="43" t="n">
        <f aca="false">IFERROR(SLOPE(C73:K73,{1,2,3,4,5,6,7,8,9})/AVERAGEIF(C73:K73,"&gt;0"),"n/a")</f>
        <v>0.381488986323561</v>
      </c>
      <c r="Y73" s="43" t="n">
        <f aca="false">IFERROR(SLOPE(H73:K73,{1,2,3,4})/AVERAGEIF(H73:K73,"&gt;0"),"n/a")</f>
        <v>0.777149718763825</v>
      </c>
      <c r="Z73" s="54" t="n">
        <f aca="false">IFERROR(H73/G73,"n/a")</f>
        <v>74.551724137931</v>
      </c>
      <c r="AA73" s="45" t="str">
        <f aca="false">IFERROR(H73/F73,"n/a")</f>
        <v>n/a</v>
      </c>
      <c r="AB73" s="56" t="n">
        <v>2.19464071288631</v>
      </c>
      <c r="AC73" s="47" t="s">
        <v>80</v>
      </c>
      <c r="AD73" s="48" t="n">
        <v>0.025</v>
      </c>
      <c r="AE73" s="49" t="s">
        <v>81</v>
      </c>
    </row>
    <row r="74" customFormat="false" ht="16.5" hidden="false" customHeight="true" outlineLevel="0" collapsed="false">
      <c r="A74" s="94" t="s">
        <v>212</v>
      </c>
      <c r="B74" s="95" t="s">
        <v>213</v>
      </c>
      <c r="C74" s="30" t="n">
        <v>7683</v>
      </c>
      <c r="D74" s="30" t="n">
        <v>25644</v>
      </c>
      <c r="E74" s="30" t="n">
        <v>7582</v>
      </c>
      <c r="F74" s="30" t="n">
        <v>12073</v>
      </c>
      <c r="G74" s="30" t="n">
        <v>70810</v>
      </c>
      <c r="H74" s="31" t="n">
        <v>68475</v>
      </c>
      <c r="I74" s="31" t="n">
        <v>37310</v>
      </c>
      <c r="J74" s="31" t="n">
        <v>27551</v>
      </c>
      <c r="K74" s="31" t="n">
        <v>227759</v>
      </c>
      <c r="L74" s="32" t="n">
        <v>30569</v>
      </c>
      <c r="M74" s="33" t="n">
        <f aca="false">IFERROR(AVERAGEIF(C74:G74,"&gt;0"),0)</f>
        <v>24758.4</v>
      </c>
      <c r="N74" s="34" t="n">
        <f aca="false">IFERROR(AVERAGEIF(H74:K74,"&gt;0"),0)</f>
        <v>90273.75</v>
      </c>
      <c r="O74" s="96" t="n">
        <f aca="false">N74-M74</f>
        <v>65515.35</v>
      </c>
      <c r="P74" s="51" t="n">
        <f aca="false">IFERROR(N74/M74,"n/a")</f>
        <v>3.64618674873982</v>
      </c>
      <c r="Q74" s="69" t="n">
        <f aca="false">IFERROR(N74/$C$3,0)</f>
        <v>0.000816277384471675</v>
      </c>
      <c r="R74" s="69" t="n">
        <f aca="false">IFERROR(O74/$D$4,0)</f>
        <v>0.00148998523311949</v>
      </c>
      <c r="S74" s="78" t="n">
        <f aca="false">IFERROR((Q74+R74)/2,0)</f>
        <v>0.00115313130879558</v>
      </c>
      <c r="T74" s="64" t="n">
        <v>0.992237388907723</v>
      </c>
      <c r="U74" s="41" t="n">
        <f aca="false">IFERROR(POWER(K74/C74,1/8)-1,"n/a")</f>
        <v>0.527541750960347</v>
      </c>
      <c r="V74" s="41" t="n">
        <f aca="false">IFERROR(POWER(K74/H74,1/3)-1,"n/a")</f>
        <v>0.492729682760629</v>
      </c>
      <c r="W74" s="53" t="n">
        <f aca="false">IFERROR(V74-U74,"n/a")</f>
        <v>-0.0348120681997175</v>
      </c>
      <c r="X74" s="43" t="n">
        <f aca="false">IFERROR(SLOPE(C74:K74,{1,2,3,4,5,6,7,8,9})/AVERAGEIF(C74:K74,"&gt;0"),"n/a")</f>
        <v>0.309932932827649</v>
      </c>
      <c r="Y74" s="43" t="n">
        <f aca="false">IFERROR(SLOPE(H74:K74,{1,2,3,4})/AVERAGEIF(H74:K74,"&gt;0"),"n/a")</f>
        <v>0.518526149628214</v>
      </c>
      <c r="Z74" s="45" t="n">
        <f aca="false">IFERROR(H74/G74,"n/a")</f>
        <v>0.967024431577461</v>
      </c>
      <c r="AA74" s="55" t="n">
        <f aca="false">IFERROR(H74/F74,"n/a")</f>
        <v>5.67174687318811</v>
      </c>
      <c r="AB74" s="46" t="n">
        <v>0.408682848927106</v>
      </c>
      <c r="AC74" s="47" t="s">
        <v>121</v>
      </c>
      <c r="AD74" s="48" t="n">
        <v>0.05</v>
      </c>
      <c r="AE74" s="49" t="s">
        <v>122</v>
      </c>
    </row>
    <row r="75" customFormat="false" ht="16.5" hidden="false" customHeight="true" outlineLevel="0" collapsed="false">
      <c r="A75" s="94" t="s">
        <v>214</v>
      </c>
      <c r="B75" s="95" t="s">
        <v>215</v>
      </c>
      <c r="C75" s="30" t="n">
        <v>88698</v>
      </c>
      <c r="D75" s="30" t="n">
        <v>16660</v>
      </c>
      <c r="E75" s="30" t="n">
        <v>56156</v>
      </c>
      <c r="F75" s="30" t="n">
        <v>185857</v>
      </c>
      <c r="G75" s="30" t="n">
        <v>203315</v>
      </c>
      <c r="H75" s="31" t="n">
        <v>192050</v>
      </c>
      <c r="I75" s="31" t="n">
        <v>95847</v>
      </c>
      <c r="J75" s="31" t="n">
        <v>174645</v>
      </c>
      <c r="K75" s="31" t="n">
        <v>129681</v>
      </c>
      <c r="L75" s="32" t="n">
        <v>68228</v>
      </c>
      <c r="M75" s="33" t="n">
        <f aca="false">IFERROR(AVERAGEIF(C75:G75,"&gt;0"),0)</f>
        <v>110137.2</v>
      </c>
      <c r="N75" s="34" t="n">
        <f aca="false">IFERROR(AVERAGEIF(H75:K75,"&gt;0"),0)</f>
        <v>148055.75</v>
      </c>
      <c r="O75" s="87" t="n">
        <f aca="false">N75-M75</f>
        <v>37918.55</v>
      </c>
      <c r="P75" s="36" t="n">
        <f aca="false">IFERROR(N75/M75,"n/a")</f>
        <v>1.34428467402476</v>
      </c>
      <c r="Q75" s="69" t="n">
        <f aca="false">IFERROR(N75/$C$3,0)</f>
        <v>0.00133875639780105</v>
      </c>
      <c r="R75" s="69" t="n">
        <f aca="false">IFERROR(O75/$D$4,0)</f>
        <v>0.000862364004180745</v>
      </c>
      <c r="S75" s="78" t="n">
        <f aca="false">IFERROR((Q75+R75)/2,0)</f>
        <v>0.0011005602009909</v>
      </c>
      <c r="T75" s="64" t="n">
        <v>0.993369897108545</v>
      </c>
      <c r="U75" s="70" t="n">
        <f aca="false">IFERROR(POWER(K75/C75,1/8)-1,"n/a")</f>
        <v>0.0486252608540785</v>
      </c>
      <c r="V75" s="58" t="n">
        <f aca="false">IFERROR(POWER(K75/H75,1/3)-1,"n/a")</f>
        <v>-0.12268811442329</v>
      </c>
      <c r="W75" s="53" t="n">
        <f aca="false">IFERROR(V75-U75,"n/a")</f>
        <v>-0.171313375277368</v>
      </c>
      <c r="X75" s="43" t="n">
        <f aca="false">IFERROR(SLOPE(C75:K75,{1,2,3,4,5,6,7,8,9})/AVERAGEIF(C75:K75,"&gt;0"),"n/a")</f>
        <v>0.094950079140159</v>
      </c>
      <c r="Y75" s="59" t="n">
        <f aca="false">IFERROR(SLOPE(H75:K75,{1,2,3,4})/AVERAGEIF(H75:K75,"&gt;0"),"n/a")</f>
        <v>-0.0731542003603372</v>
      </c>
      <c r="Z75" s="45" t="n">
        <f aca="false">IFERROR(H75/G75,"n/a")</f>
        <v>0.944593364975531</v>
      </c>
      <c r="AA75" s="45" t="n">
        <f aca="false">IFERROR(H75/F75,"n/a")</f>
        <v>1.03332131692645</v>
      </c>
      <c r="AB75" s="46" t="n">
        <v>0.450722109745822</v>
      </c>
      <c r="AC75" s="47" t="s">
        <v>125</v>
      </c>
      <c r="AD75" s="48" t="n">
        <v>0.06</v>
      </c>
      <c r="AE75" s="49" t="s">
        <v>126</v>
      </c>
    </row>
    <row r="76" customFormat="false" ht="16.5" hidden="false" customHeight="true" outlineLevel="0" collapsed="false">
      <c r="A76" s="94" t="s">
        <v>216</v>
      </c>
      <c r="B76" s="95" t="s">
        <v>217</v>
      </c>
      <c r="C76" s="30" t="n">
        <v>12500</v>
      </c>
      <c r="D76" s="50" t="s">
        <v>84</v>
      </c>
      <c r="E76" s="30" t="n">
        <v>2045</v>
      </c>
      <c r="F76" s="30" t="n">
        <v>4460</v>
      </c>
      <c r="G76" s="30" t="n">
        <v>6839</v>
      </c>
      <c r="H76" s="31" t="n">
        <v>70810</v>
      </c>
      <c r="I76" s="50" t="s">
        <v>84</v>
      </c>
      <c r="J76" s="50" t="s">
        <v>84</v>
      </c>
      <c r="K76" s="50" t="s">
        <v>84</v>
      </c>
      <c r="L76" s="32" t="n">
        <v>7803</v>
      </c>
      <c r="M76" s="33" t="n">
        <f aca="false">IFERROR(AVERAGEIF(C76:G76,"&gt;0"),0)</f>
        <v>6461</v>
      </c>
      <c r="N76" s="34" t="n">
        <f aca="false">IFERROR(AVERAGEIF(H76:K76,"&gt;0"),0)</f>
        <v>70810</v>
      </c>
      <c r="O76" s="96" t="n">
        <f aca="false">N76-M76</f>
        <v>64349</v>
      </c>
      <c r="P76" s="51" t="n">
        <f aca="false">IFERROR(N76/M76,"n/a")</f>
        <v>10.9596037765052</v>
      </c>
      <c r="Q76" s="69" t="n">
        <f aca="false">IFERROR(N76/$C$3,0)</f>
        <v>0.000640281384061694</v>
      </c>
      <c r="R76" s="69" t="n">
        <f aca="false">IFERROR(O76/$D$4,0)</f>
        <v>0.0014634594757718</v>
      </c>
      <c r="S76" s="78" t="n">
        <f aca="false">IFERROR((Q76+R76)/2,0)</f>
        <v>0.00105187042991675</v>
      </c>
      <c r="T76" s="64" t="n">
        <v>0.994437047173789</v>
      </c>
      <c r="U76" s="41" t="str">
        <f aca="false">IFERROR(POWER(K76/C76,1/8)-1,"n/a")</f>
        <v>n/a</v>
      </c>
      <c r="V76" s="70" t="str">
        <f aca="false">IFERROR(POWER(K76/H76,1/3)-1,"n/a")</f>
        <v>n/a</v>
      </c>
      <c r="W76" s="90" t="str">
        <f aca="false">IFERROR(V76-U76,"n/a")</f>
        <v>n/a</v>
      </c>
      <c r="X76" s="43" t="n">
        <f aca="false">IFERROR(SLOPE(C76:K76,{1,2,3,4,5,6,7,8,9})/AVERAGEIF(C76:K76,"&gt;0"),"n/a")</f>
        <v>0.44825817809864</v>
      </c>
      <c r="Y76" s="88" t="str">
        <f aca="false">IFERROR(SLOPE(H76:K76,{1,2,3,4})/AVERAGEIF(H76:K76,"&gt;0"),"n/a")</f>
        <v>n/a</v>
      </c>
      <c r="Z76" s="54" t="n">
        <f aca="false">IFERROR(H76/G76,"n/a")</f>
        <v>10.3538529024711</v>
      </c>
      <c r="AA76" s="55" t="n">
        <f aca="false">IFERROR(H76/F76,"n/a")</f>
        <v>15.8766816143498</v>
      </c>
      <c r="AB76" s="46" t="n">
        <v>0.110196299957633</v>
      </c>
      <c r="AC76" s="85" t="s">
        <v>139</v>
      </c>
      <c r="AD76" s="86" t="s">
        <v>140</v>
      </c>
      <c r="AE76" s="86" t="s">
        <v>84</v>
      </c>
    </row>
    <row r="77" customFormat="false" ht="16.5" hidden="false" customHeight="true" outlineLevel="0" collapsed="false">
      <c r="A77" s="94" t="s">
        <v>218</v>
      </c>
      <c r="B77" s="95" t="s">
        <v>219</v>
      </c>
      <c r="C77" s="30" t="n">
        <v>10447</v>
      </c>
      <c r="D77" s="30" t="n">
        <v>4434</v>
      </c>
      <c r="E77" s="30" t="n">
        <v>13901</v>
      </c>
      <c r="F77" s="30" t="n">
        <v>29546</v>
      </c>
      <c r="G77" s="30" t="n">
        <v>84084</v>
      </c>
      <c r="H77" s="31" t="n">
        <v>120768</v>
      </c>
      <c r="I77" s="31" t="n">
        <v>35235</v>
      </c>
      <c r="J77" s="31" t="n">
        <v>38444</v>
      </c>
      <c r="K77" s="31" t="n">
        <v>150157</v>
      </c>
      <c r="L77" s="32" t="n">
        <v>46476</v>
      </c>
      <c r="M77" s="33" t="n">
        <f aca="false">IFERROR(AVERAGEIF(C77:G77,"&gt;0"),0)</f>
        <v>28482.4</v>
      </c>
      <c r="N77" s="34" t="n">
        <f aca="false">IFERROR(AVERAGEIF(H77:K77,"&gt;0"),0)</f>
        <v>86151</v>
      </c>
      <c r="O77" s="96" t="n">
        <f aca="false">N77-M77</f>
        <v>57668.6</v>
      </c>
      <c r="P77" s="51" t="n">
        <f aca="false">IFERROR(N77/M77,"n/a")</f>
        <v>3.02470999634862</v>
      </c>
      <c r="Q77" s="69" t="n">
        <f aca="false">IFERROR(N77/$C$3,0)</f>
        <v>0.00077899846798897</v>
      </c>
      <c r="R77" s="69" t="n">
        <f aca="false">IFERROR(O77/$D$4,0)</f>
        <v>0.00131153023550473</v>
      </c>
      <c r="S77" s="78" t="n">
        <f aca="false">IFERROR((Q77+R77)/2,0)</f>
        <v>0.00104526435174685</v>
      </c>
      <c r="T77" s="64" t="n">
        <v>0.995500901496769</v>
      </c>
      <c r="U77" s="41" t="n">
        <f aca="false">IFERROR(POWER(K77/C77,1/8)-1,"n/a")</f>
        <v>0.395385637457175</v>
      </c>
      <c r="V77" s="40" t="n">
        <f aca="false">IFERROR(POWER(K77/H77,1/3)-1,"n/a")</f>
        <v>0.0753039378992424</v>
      </c>
      <c r="W77" s="53" t="n">
        <f aca="false">IFERROR(V77-U77,"n/a")</f>
        <v>-0.320081699557932</v>
      </c>
      <c r="X77" s="43" t="n">
        <f aca="false">IFERROR(SLOPE(C77:K77,{1,2,3,4,5,6,7,8,9})/AVERAGEIF(C77:K77,"&gt;0"),"n/a")</f>
        <v>0.244784565599488</v>
      </c>
      <c r="Y77" s="43" t="n">
        <f aca="false">IFERROR(SLOPE(H77:K77,{1,2,3,4})/AVERAGEIF(H77:K77,"&gt;0"),"n/a")</f>
        <v>0.106064932502234</v>
      </c>
      <c r="Z77" s="44" t="n">
        <f aca="false">IFERROR(H77/G77,"n/a")</f>
        <v>1.43627800770658</v>
      </c>
      <c r="AA77" s="55" t="n">
        <f aca="false">IFERROR(H77/F77,"n/a")</f>
        <v>4.08745684695052</v>
      </c>
      <c r="AB77" s="46" t="n">
        <v>0.336997442475034</v>
      </c>
      <c r="AC77" s="47" t="s">
        <v>121</v>
      </c>
      <c r="AD77" s="48" t="n">
        <v>0.05</v>
      </c>
      <c r="AE77" s="49" t="s">
        <v>122</v>
      </c>
    </row>
    <row r="78" customFormat="false" ht="16.5" hidden="false" customHeight="true" outlineLevel="0" collapsed="false">
      <c r="A78" s="94" t="s">
        <v>220</v>
      </c>
      <c r="B78" s="95" t="s">
        <v>221</v>
      </c>
      <c r="C78" s="50" t="s">
        <v>84</v>
      </c>
      <c r="D78" s="50" t="s">
        <v>84</v>
      </c>
      <c r="E78" s="30" t="n">
        <v>14230</v>
      </c>
      <c r="F78" s="30" t="n">
        <v>48819</v>
      </c>
      <c r="G78" s="30" t="n">
        <v>4471</v>
      </c>
      <c r="H78" s="31" t="n">
        <v>1152</v>
      </c>
      <c r="I78" s="50" t="s">
        <v>84</v>
      </c>
      <c r="J78" s="31" t="n">
        <v>838</v>
      </c>
      <c r="K78" s="31" t="n">
        <v>222991</v>
      </c>
      <c r="L78" s="32" t="n">
        <v>2064</v>
      </c>
      <c r="M78" s="33" t="n">
        <f aca="false">IFERROR(AVERAGEIF(C78:G78,"&gt;0"),0)</f>
        <v>22506.6666666667</v>
      </c>
      <c r="N78" s="34" t="n">
        <f aca="false">IFERROR(AVERAGEIF(H78:K78,"&gt;0"),0)</f>
        <v>74993.6666666667</v>
      </c>
      <c r="O78" s="96" t="n">
        <f aca="false">N78-M78</f>
        <v>52487</v>
      </c>
      <c r="P78" s="51" t="n">
        <f aca="false">IFERROR(N78/M78,"n/a")</f>
        <v>3.33206457345972</v>
      </c>
      <c r="Q78" s="69" t="n">
        <f aca="false">IFERROR(N78/$C$3,0)</f>
        <v>0.000678111123982413</v>
      </c>
      <c r="R78" s="69" t="n">
        <f aca="false">IFERROR(O78/$D$4,0)</f>
        <v>0.00119368750881652</v>
      </c>
      <c r="S78" s="78" t="n">
        <f aca="false">IFERROR((Q78+R78)/2,0)</f>
        <v>0.000935899316399468</v>
      </c>
      <c r="T78" s="64" t="n">
        <v>0.996452983215068</v>
      </c>
      <c r="U78" s="41" t="str">
        <f aca="false">IFERROR(POWER(K78/C78,1/8)-1,"n/a")</f>
        <v>n/a</v>
      </c>
      <c r="V78" s="41" t="n">
        <f aca="false">IFERROR(POWER(K78/H78,1/3)-1,"n/a")</f>
        <v>4.78466596000802</v>
      </c>
      <c r="W78" s="42" t="str">
        <f aca="false">IFERROR(V78-U78,"n/a")</f>
        <v>n/a</v>
      </c>
      <c r="X78" s="43" t="n">
        <f aca="false">IFERROR(SLOPE(C78:K78,{1,2,3,4,5,6,7,8,9})/AVERAGEIF(C78:K78,"&gt;0"),"n/a")</f>
        <v>0.439253284073287</v>
      </c>
      <c r="Y78" s="43" t="n">
        <f aca="false">IFERROR(SLOPE(H78:K78,{1,2,3,4})/AVERAGEIF(H78:K78,"&gt;0"),"n/a")</f>
        <v>0.844873249614094</v>
      </c>
      <c r="Z78" s="45" t="n">
        <f aca="false">IFERROR(H78/G78,"n/a")</f>
        <v>0.257660478640125</v>
      </c>
      <c r="AA78" s="45" t="n">
        <f aca="false">IFERROR(H78/F78,"n/a")</f>
        <v>0.0235973698764825</v>
      </c>
      <c r="AB78" s="46" t="n">
        <v>0.0189749356612336</v>
      </c>
      <c r="AC78" s="47" t="s">
        <v>97</v>
      </c>
      <c r="AD78" s="48" t="n">
        <v>0.035</v>
      </c>
      <c r="AE78" s="49" t="s">
        <v>98</v>
      </c>
    </row>
    <row r="79" customFormat="false" ht="16.5" hidden="false" customHeight="true" outlineLevel="0" collapsed="false">
      <c r="A79" s="94" t="s">
        <v>222</v>
      </c>
      <c r="B79" s="95" t="s">
        <v>223</v>
      </c>
      <c r="C79" s="50" t="s">
        <v>84</v>
      </c>
      <c r="D79" s="50" t="s">
        <v>84</v>
      </c>
      <c r="E79" s="50" t="s">
        <v>84</v>
      </c>
      <c r="F79" s="30" t="n">
        <v>980</v>
      </c>
      <c r="G79" s="50" t="s">
        <v>84</v>
      </c>
      <c r="H79" s="50" t="s">
        <v>84</v>
      </c>
      <c r="I79" s="31" t="n">
        <v>173</v>
      </c>
      <c r="J79" s="31" t="n">
        <v>36088</v>
      </c>
      <c r="K79" s="31" t="n">
        <v>58622</v>
      </c>
      <c r="L79" s="32" t="n">
        <v>4</v>
      </c>
      <c r="M79" s="33" t="n">
        <f aca="false">IFERROR(AVERAGEIF(C79:G79,"&gt;0"),0)</f>
        <v>980</v>
      </c>
      <c r="N79" s="34" t="n">
        <f aca="false">IFERROR(AVERAGEIF(H79:K79,"&gt;0"),0)</f>
        <v>31627.6666666667</v>
      </c>
      <c r="O79" s="87" t="n">
        <f aca="false">N79-M79</f>
        <v>30647.6666666667</v>
      </c>
      <c r="P79" s="51" t="n">
        <f aca="false">IFERROR(N79/M79,"n/a")</f>
        <v>32.2731292517007</v>
      </c>
      <c r="Q79" s="69" t="n">
        <f aca="false">IFERROR(N79/$C$3,0)</f>
        <v>0.00028598511775138</v>
      </c>
      <c r="R79" s="69" t="n">
        <f aca="false">IFERROR(O79/$D$4,0)</f>
        <v>0.00069700567520286</v>
      </c>
      <c r="S79" s="78" t="n">
        <f aca="false">IFERROR((Q79+R79)/2,0)</f>
        <v>0.00049149539647712</v>
      </c>
      <c r="T79" s="64" t="n">
        <v>0.996951303342697</v>
      </c>
      <c r="U79" s="41" t="str">
        <f aca="false">IFERROR(POWER(K79/C79,1/8)-1,"n/a")</f>
        <v>n/a</v>
      </c>
      <c r="V79" s="41" t="str">
        <f aca="false">IFERROR(POWER(K79/H79,1/3)-1,"n/a")</f>
        <v>n/a</v>
      </c>
      <c r="W79" s="42" t="str">
        <f aca="false">IFERROR(V79-U79,"n/a")</f>
        <v>n/a</v>
      </c>
      <c r="X79" s="43" t="n">
        <f aca="false">IFERROR(SLOPE(C79:K79,{1,2,3,4,5,6,7,8,9})/AVERAGEIF(C79:K79,"&gt;0"),"n/a")</f>
        <v>0.448234906659951</v>
      </c>
      <c r="Y79" s="43" t="n">
        <f aca="false">IFERROR(SLOPE(H79:K79,{1,2,3,4})/AVERAGEIF(H79:K79,"&gt;0"),"n/a")</f>
        <v>0.924016947187589</v>
      </c>
      <c r="Z79" s="45" t="str">
        <f aca="false">IFERROR(H79/G79,"n/a")</f>
        <v>n/a</v>
      </c>
      <c r="AA79" s="45" t="str">
        <f aca="false">IFERROR(H79/F79,"n/a")</f>
        <v>n/a</v>
      </c>
      <c r="AB79" s="46" t="n">
        <v>0.000126471549171</v>
      </c>
      <c r="AC79" s="47" t="s">
        <v>224</v>
      </c>
      <c r="AD79" s="65" t="n">
        <v>0.5</v>
      </c>
      <c r="AE79" s="66" t="s">
        <v>225</v>
      </c>
    </row>
    <row r="80" customFormat="false" ht="16.5" hidden="false" customHeight="true" outlineLevel="0" collapsed="false">
      <c r="A80" s="94" t="s">
        <v>226</v>
      </c>
      <c r="B80" s="95" t="s">
        <v>227</v>
      </c>
      <c r="C80" s="30" t="n">
        <v>14478</v>
      </c>
      <c r="D80" s="30" t="n">
        <v>6120</v>
      </c>
      <c r="E80" s="30" t="n">
        <v>4153</v>
      </c>
      <c r="F80" s="30" t="n">
        <v>10058</v>
      </c>
      <c r="G80" s="30" t="n">
        <v>13327</v>
      </c>
      <c r="H80" s="31" t="n">
        <v>21643</v>
      </c>
      <c r="I80" s="31" t="n">
        <v>22546</v>
      </c>
      <c r="J80" s="31" t="n">
        <v>28410</v>
      </c>
      <c r="K80" s="31" t="n">
        <v>52388</v>
      </c>
      <c r="L80" s="32" t="n">
        <v>89004</v>
      </c>
      <c r="M80" s="33" t="n">
        <f aca="false">IFERROR(AVERAGEIF(C80:G80,"&gt;0"),0)</f>
        <v>9627.2</v>
      </c>
      <c r="N80" s="34" t="n">
        <f aca="false">IFERROR(AVERAGEIF(H80:K80,"&gt;0"),0)</f>
        <v>31246.75</v>
      </c>
      <c r="O80" s="87" t="n">
        <f aca="false">N80-M80</f>
        <v>21619.55</v>
      </c>
      <c r="P80" s="51" t="n">
        <f aca="false">IFERROR(N80/M80,"n/a")</f>
        <v>3.24567371613761</v>
      </c>
      <c r="Q80" s="69" t="n">
        <f aca="false">IFERROR(N80/$C$3,0)</f>
        <v>0.000282540775842815</v>
      </c>
      <c r="R80" s="69" t="n">
        <f aca="false">IFERROR(O80/$D$4,0)</f>
        <v>0.000491683403151909</v>
      </c>
      <c r="S80" s="78" t="n">
        <f aca="false">IFERROR((Q80+R80)/2,0)</f>
        <v>0.000387112089497362</v>
      </c>
      <c r="T80" s="64" t="n">
        <v>0.997345157967785</v>
      </c>
      <c r="U80" s="40" t="n">
        <f aca="false">IFERROR(POWER(K80/C80,1/8)-1,"n/a")</f>
        <v>0.174398278121128</v>
      </c>
      <c r="V80" s="41" t="n">
        <f aca="false">IFERROR(POWER(K80/H80,1/3)-1,"n/a")</f>
        <v>0.342676701960497</v>
      </c>
      <c r="W80" s="42" t="n">
        <f aca="false">IFERROR(V80-U80,"n/a")</f>
        <v>0.168278423839368</v>
      </c>
      <c r="X80" s="43" t="n">
        <f aca="false">IFERROR(SLOPE(C80:K80,{1,2,3,4,5,6,7,8,9})/AVERAGEIF(C80:K80,"&gt;0"),"n/a")</f>
        <v>0.231235306689464</v>
      </c>
      <c r="Y80" s="43" t="n">
        <f aca="false">IFERROR(SLOPE(H80:K80,{1,2,3,4})/AVERAGEIF(H80:K80,"&gt;0"),"n/a")</f>
        <v>0.313949450742877</v>
      </c>
      <c r="Z80" s="67" t="n">
        <f aca="false">IFERROR(H80/G80,"n/a")</f>
        <v>1.62399639828919</v>
      </c>
      <c r="AA80" s="67" t="n">
        <f aca="false">IFERROR(H80/F80,"n/a")</f>
        <v>2.1518194472062</v>
      </c>
      <c r="AB80" s="56" t="n">
        <v>5.20809364173874</v>
      </c>
      <c r="AC80" s="47" t="s">
        <v>164</v>
      </c>
      <c r="AD80" s="48" t="n">
        <v>0.1</v>
      </c>
      <c r="AE80" s="66" t="s">
        <v>165</v>
      </c>
    </row>
    <row r="81" customFormat="false" ht="16.5" hidden="false" customHeight="true" outlineLevel="0" collapsed="false">
      <c r="A81" s="94" t="s">
        <v>228</v>
      </c>
      <c r="B81" s="95" t="s">
        <v>229</v>
      </c>
      <c r="C81" s="30" t="n">
        <v>17514</v>
      </c>
      <c r="D81" s="50" t="s">
        <v>84</v>
      </c>
      <c r="E81" s="50" t="s">
        <v>84</v>
      </c>
      <c r="F81" s="50" t="s">
        <v>84</v>
      </c>
      <c r="G81" s="50" t="s">
        <v>84</v>
      </c>
      <c r="H81" s="31" t="n">
        <v>12261</v>
      </c>
      <c r="I81" s="31" t="n">
        <v>51248</v>
      </c>
      <c r="J81" s="31" t="n">
        <v>80634</v>
      </c>
      <c r="K81" s="31" t="n">
        <v>2782</v>
      </c>
      <c r="L81" s="32" t="n">
        <v>64679</v>
      </c>
      <c r="M81" s="33" t="n">
        <f aca="false">IFERROR(AVERAGEIF(C81:G81,"&gt;0"),0)</f>
        <v>17514</v>
      </c>
      <c r="N81" s="34" t="n">
        <f aca="false">IFERROR(AVERAGEIF(H81:K81,"&gt;0"),0)</f>
        <v>36731.25</v>
      </c>
      <c r="O81" s="87" t="n">
        <f aca="false">N81-M81</f>
        <v>19217.25</v>
      </c>
      <c r="P81" s="51" t="n">
        <f aca="false">IFERROR(N81/M81,"n/a")</f>
        <v>2.09725077081192</v>
      </c>
      <c r="Q81" s="69" t="n">
        <f aca="false">IFERROR(N81/$C$3,0)</f>
        <v>0.000332132969754499</v>
      </c>
      <c r="R81" s="69" t="n">
        <f aca="false">IFERROR(O81/$D$4,0)</f>
        <v>0.000437049007922044</v>
      </c>
      <c r="S81" s="78" t="n">
        <f aca="false">IFERROR((Q81+R81)/2,0)</f>
        <v>0.000384590988838272</v>
      </c>
      <c r="T81" s="64" t="n">
        <v>0.99773767495726</v>
      </c>
      <c r="U81" s="58" t="n">
        <f aca="false">IFERROR(POWER(K81/C81,1/8)-1,"n/a")</f>
        <v>-0.205449559919574</v>
      </c>
      <c r="V81" s="58" t="n">
        <f aca="false">IFERROR(POWER(K81/H81,1/3)-1,"n/a")</f>
        <v>-0.390074097141266</v>
      </c>
      <c r="W81" s="53" t="n">
        <f aca="false">IFERROR(V81-U81,"n/a")</f>
        <v>-0.184624537221692</v>
      </c>
      <c r="X81" s="43" t="n">
        <f aca="false">IFERROR(SLOPE(C81:K81,{1,2,3,4,5,6,7,8,9})/AVERAGEIF(C81:K81,"&gt;0"),"n/a")</f>
        <v>0.078683801087396</v>
      </c>
      <c r="Y81" s="43" t="n">
        <f aca="false">IFERROR(SLOPE(H81:K81,{1,2,3,4})/AVERAGEIF(H81:K81,"&gt;0"),"n/a")</f>
        <v>0.00258363110430492</v>
      </c>
      <c r="Z81" s="45" t="str">
        <f aca="false">IFERROR(H81/G81,"n/a")</f>
        <v>n/a</v>
      </c>
      <c r="AA81" s="45" t="str">
        <f aca="false">IFERROR(H81/F81,"n/a")</f>
        <v>n/a</v>
      </c>
      <c r="AB81" s="45" t="n">
        <v>0.932162668027905</v>
      </c>
      <c r="AC81" s="47" t="s">
        <v>80</v>
      </c>
      <c r="AD81" s="48" t="n">
        <v>0.025</v>
      </c>
      <c r="AE81" s="49" t="s">
        <v>81</v>
      </c>
    </row>
    <row r="82" customFormat="false" ht="16.5" hidden="false" customHeight="true" outlineLevel="0" collapsed="false">
      <c r="A82" s="94" t="s">
        <v>230</v>
      </c>
      <c r="B82" s="95" t="s">
        <v>231</v>
      </c>
      <c r="C82" s="30" t="n">
        <v>39</v>
      </c>
      <c r="D82" s="30" t="n">
        <v>1706</v>
      </c>
      <c r="E82" s="30" t="n">
        <v>1682</v>
      </c>
      <c r="F82" s="30" t="n">
        <v>434</v>
      </c>
      <c r="G82" s="30" t="n">
        <v>534</v>
      </c>
      <c r="H82" s="31" t="n">
        <v>47623</v>
      </c>
      <c r="I82" s="31" t="n">
        <v>2642</v>
      </c>
      <c r="J82" s="31" t="n">
        <v>13596</v>
      </c>
      <c r="K82" s="31" t="n">
        <v>7403</v>
      </c>
      <c r="L82" s="32" t="n">
        <v>22703</v>
      </c>
      <c r="M82" s="33" t="n">
        <f aca="false">IFERROR(AVERAGEIF(C82:G82,"&gt;0"),0)</f>
        <v>879</v>
      </c>
      <c r="N82" s="34" t="n">
        <f aca="false">IFERROR(AVERAGEIF(H82:K82,"&gt;0"),0)</f>
        <v>17816</v>
      </c>
      <c r="O82" s="87" t="n">
        <f aca="false">N82-M82</f>
        <v>16937</v>
      </c>
      <c r="P82" s="51" t="n">
        <f aca="false">IFERROR(N82/M82,"n/a")</f>
        <v>20.2684869169511</v>
      </c>
      <c r="Q82" s="69" t="n">
        <f aca="false">IFERROR(N82/$C$3,0)</f>
        <v>0.000161096640847947</v>
      </c>
      <c r="R82" s="69" t="n">
        <f aca="false">IFERROR(O82/$D$4,0)</f>
        <v>0.000385190339261635</v>
      </c>
      <c r="S82" s="78" t="n">
        <f aca="false">IFERROR((Q82+R82)/2,0)</f>
        <v>0.000273143490054791</v>
      </c>
      <c r="T82" s="64" t="n">
        <v>0.998014662847583</v>
      </c>
      <c r="U82" s="41" t="n">
        <f aca="false">IFERROR(POWER(K82/C82,1/8)-1,"n/a")</f>
        <v>0.926605930465</v>
      </c>
      <c r="V82" s="58" t="n">
        <f aca="false">IFERROR(POWER(K82/H82,1/3)-1,"n/a")</f>
        <v>-0.462312013670708</v>
      </c>
      <c r="W82" s="53" t="n">
        <f aca="false">IFERROR(V82-U82,"n/a")</f>
        <v>-1.38891794413571</v>
      </c>
      <c r="X82" s="43" t="n">
        <f aca="false">IFERROR(SLOPE(C82:K82,{1,2,3,4,5,6,7,8,9})/AVERAGEIF(C82:K82,"&gt;0"),"n/a")</f>
        <v>0.226479995770497</v>
      </c>
      <c r="Y82" s="59" t="n">
        <f aca="false">IFERROR(SLOPE(H82:K82,{1,2,3,4})/AVERAGEIF(H82:K82,"&gt;0"),"n/a")</f>
        <v>-0.615772339470139</v>
      </c>
      <c r="Z82" s="54" t="n">
        <f aca="false">IFERROR(H82/G82,"n/a")</f>
        <v>89.1816479400749</v>
      </c>
      <c r="AA82" s="55" t="n">
        <f aca="false">IFERROR(H82/F82,"n/a")</f>
        <v>109.730414746544</v>
      </c>
      <c r="AB82" s="56" t="n">
        <v>1.61905029187247</v>
      </c>
      <c r="AC82" s="47" t="s">
        <v>80</v>
      </c>
      <c r="AD82" s="48" t="n">
        <v>0.025</v>
      </c>
      <c r="AE82" s="49" t="s">
        <v>81</v>
      </c>
    </row>
    <row r="83" customFormat="false" ht="16.5" hidden="false" customHeight="true" outlineLevel="0" collapsed="false">
      <c r="A83" s="94" t="s">
        <v>232</v>
      </c>
      <c r="B83" s="95" t="s">
        <v>233</v>
      </c>
      <c r="C83" s="30" t="n">
        <v>58939</v>
      </c>
      <c r="D83" s="30" t="n">
        <v>39802</v>
      </c>
      <c r="E83" s="30" t="n">
        <v>64104</v>
      </c>
      <c r="F83" s="30" t="n">
        <v>27586</v>
      </c>
      <c r="G83" s="30" t="n">
        <v>37496</v>
      </c>
      <c r="H83" s="31" t="n">
        <v>50456</v>
      </c>
      <c r="I83" s="31" t="n">
        <v>48565</v>
      </c>
      <c r="J83" s="31" t="n">
        <v>40697</v>
      </c>
      <c r="K83" s="31" t="n">
        <v>48592</v>
      </c>
      <c r="L83" s="32" t="n">
        <v>45732</v>
      </c>
      <c r="M83" s="33" t="n">
        <f aca="false">IFERROR(AVERAGEIF(C83:G83,"&gt;0"),0)</f>
        <v>45585.4</v>
      </c>
      <c r="N83" s="34" t="n">
        <f aca="false">IFERROR(AVERAGEIF(H83:K83,"&gt;0"),0)</f>
        <v>47077.5</v>
      </c>
      <c r="O83" s="87" t="n">
        <f aca="false">N83-M83</f>
        <v>1492.1</v>
      </c>
      <c r="P83" s="91" t="n">
        <f aca="false">IFERROR(N83/M83,"n/a")</f>
        <v>1.03273197120131</v>
      </c>
      <c r="Q83" s="69" t="n">
        <f aca="false">IFERROR(N83/$C$3,0)</f>
        <v>0.000425686299366818</v>
      </c>
      <c r="R83" s="69" t="n">
        <f aca="false">IFERROR(O83/$D$4,0)</f>
        <v>3.39341385848902E-005</v>
      </c>
      <c r="S83" s="78" t="n">
        <f aca="false">IFERROR((Q83+R83)/2,0)</f>
        <v>0.000229810218975854</v>
      </c>
      <c r="T83" s="64" t="n">
        <v>0.998254631618064</v>
      </c>
      <c r="U83" s="58" t="n">
        <f aca="false">IFERROR(POWER(K83/C83,1/8)-1,"n/a")</f>
        <v>-0.0238416997160048</v>
      </c>
      <c r="V83" s="58" t="n">
        <f aca="false">IFERROR(POWER(K83/H83,1/3)-1,"n/a")</f>
        <v>-0.0124691942718105</v>
      </c>
      <c r="W83" s="71" t="n">
        <f aca="false">IFERROR(V83-U83,"n/a")</f>
        <v>0.0113725054441943</v>
      </c>
      <c r="X83" s="59" t="n">
        <f aca="false">IFERROR(SLOPE(C83:K83,{1,2,3,4,5,6,7,8,9})/AVERAGEIF(C83:K83,"&gt;0"),"n/a")</f>
        <v>-0.0169053928410977</v>
      </c>
      <c r="Y83" s="59" t="n">
        <f aca="false">IFERROR(SLOPE(H83:K83,{1,2,3,4})/AVERAGEIF(H83:K83,"&gt;0"),"n/a")</f>
        <v>-0.0285911528861983</v>
      </c>
      <c r="Z83" s="44" t="n">
        <f aca="false">IFERROR(H83/G83,"n/a")</f>
        <v>1.34563686793258</v>
      </c>
      <c r="AA83" s="67" t="n">
        <f aca="false">IFERROR(H83/F83,"n/a")</f>
        <v>1.82904371782788</v>
      </c>
      <c r="AB83" s="56" t="n">
        <v>1.30928079585081</v>
      </c>
      <c r="AC83" s="47" t="s">
        <v>80</v>
      </c>
      <c r="AD83" s="48" t="n">
        <v>0.025</v>
      </c>
      <c r="AE83" s="49" t="s">
        <v>81</v>
      </c>
    </row>
    <row r="84" customFormat="false" ht="16.5" hidden="false" customHeight="true" outlineLevel="0" collapsed="false">
      <c r="A84" s="94" t="s">
        <v>234</v>
      </c>
      <c r="B84" s="95" t="s">
        <v>235</v>
      </c>
      <c r="C84" s="30" t="n">
        <v>22608</v>
      </c>
      <c r="D84" s="30" t="n">
        <v>11084</v>
      </c>
      <c r="E84" s="30" t="n">
        <v>14309</v>
      </c>
      <c r="F84" s="50" t="s">
        <v>84</v>
      </c>
      <c r="G84" s="30" t="n">
        <v>7272</v>
      </c>
      <c r="H84" s="31" t="n">
        <v>39233</v>
      </c>
      <c r="I84" s="31" t="n">
        <v>5359</v>
      </c>
      <c r="J84" s="31" t="n">
        <v>723</v>
      </c>
      <c r="K84" s="31" t="n">
        <v>53171</v>
      </c>
      <c r="L84" s="32" t="n">
        <v>4808</v>
      </c>
      <c r="M84" s="33" t="n">
        <f aca="false">IFERROR(AVERAGEIF(C84:G84,"&gt;0"),0)</f>
        <v>13818.25</v>
      </c>
      <c r="N84" s="34" t="n">
        <f aca="false">IFERROR(AVERAGEIF(H84:K84,"&gt;0"),0)</f>
        <v>24621.5</v>
      </c>
      <c r="O84" s="87" t="n">
        <f aca="false">N84-M84</f>
        <v>10803.25</v>
      </c>
      <c r="P84" s="36" t="n">
        <f aca="false">IFERROR(N84/M84,"n/a")</f>
        <v>1.78181028712029</v>
      </c>
      <c r="Q84" s="69" t="n">
        <f aca="false">IFERROR(N84/$C$3,0)</f>
        <v>0.000222633640695876</v>
      </c>
      <c r="R84" s="69" t="n">
        <f aca="false">IFERROR(O84/$D$4,0)</f>
        <v>0.000245693306525846</v>
      </c>
      <c r="S84" s="78" t="n">
        <f aca="false">IFERROR((Q84+R84)/2,0)</f>
        <v>0.000234163473610861</v>
      </c>
      <c r="T84" s="64" t="n">
        <v>0.998494108007099</v>
      </c>
      <c r="U84" s="40" t="n">
        <f aca="false">IFERROR(POWER(K84/C84,1/8)-1,"n/a")</f>
        <v>0.112824261527113</v>
      </c>
      <c r="V84" s="40" t="n">
        <f aca="false">IFERROR(POWER(K84/H84,1/3)-1,"n/a")</f>
        <v>0.106643582863124</v>
      </c>
      <c r="W84" s="53" t="n">
        <f aca="false">IFERROR(V84-U84,"n/a")</f>
        <v>-0.00618067866398886</v>
      </c>
      <c r="X84" s="43" t="n">
        <f aca="false">IFERROR(SLOPE(C84:K84,{1,2,3,4,5,6,7,8,9})/AVERAGEIF(C84:K84,"&gt;0"),"n/a")</f>
        <v>0.0824360078540757</v>
      </c>
      <c r="Y84" s="43" t="n">
        <f aca="false">IFERROR(SLOPE(H84:K84,{1,2,3,4})/AVERAGEIF(H84:K84,"&gt;0"),"n/a")</f>
        <v>0.150998111406697</v>
      </c>
      <c r="Z84" s="54" t="n">
        <f aca="false">IFERROR(H84/G84,"n/a")</f>
        <v>5.39507700770077</v>
      </c>
      <c r="AA84" s="45" t="str">
        <f aca="false">IFERROR(H84/F84,"n/a")</f>
        <v>n/a</v>
      </c>
      <c r="AB84" s="56" t="n">
        <v>1.2048954504532</v>
      </c>
      <c r="AC84" s="47" t="s">
        <v>80</v>
      </c>
      <c r="AD84" s="48" t="n">
        <v>0.025</v>
      </c>
      <c r="AE84" s="49" t="s">
        <v>81</v>
      </c>
    </row>
    <row r="85" customFormat="false" ht="16.5" hidden="false" customHeight="true" outlineLevel="0" collapsed="false">
      <c r="A85" s="94" t="s">
        <v>236</v>
      </c>
      <c r="B85" s="95" t="s">
        <v>237</v>
      </c>
      <c r="C85" s="30" t="n">
        <v>7066</v>
      </c>
      <c r="D85" s="30" t="n">
        <v>4804</v>
      </c>
      <c r="E85" s="30" t="n">
        <v>4437</v>
      </c>
      <c r="F85" s="30" t="n">
        <v>26930</v>
      </c>
      <c r="G85" s="30" t="n">
        <v>13267</v>
      </c>
      <c r="H85" s="31" t="n">
        <v>32458</v>
      </c>
      <c r="I85" s="31" t="n">
        <v>24182</v>
      </c>
      <c r="J85" s="31" t="n">
        <v>21852</v>
      </c>
      <c r="K85" s="31" t="n">
        <v>11828</v>
      </c>
      <c r="L85" s="32" t="n">
        <v>15452</v>
      </c>
      <c r="M85" s="33" t="n">
        <f aca="false">IFERROR(AVERAGEIF(C85:G85,"&gt;0"),0)</f>
        <v>11300.8</v>
      </c>
      <c r="N85" s="34" t="n">
        <f aca="false">IFERROR(AVERAGEIF(H85:K85,"&gt;0"),0)</f>
        <v>22580</v>
      </c>
      <c r="O85" s="87" t="n">
        <f aca="false">N85-M85</f>
        <v>11279.2</v>
      </c>
      <c r="P85" s="36" t="n">
        <f aca="false">IFERROR(N85/M85,"n/a")</f>
        <v>1.99808863089339</v>
      </c>
      <c r="Q85" s="69" t="n">
        <f aca="false">IFERROR(N85/$C$3,0)</f>
        <v>0.000204173897078281</v>
      </c>
      <c r="R85" s="69" t="n">
        <f aca="false">IFERROR(O85/$D$4,0)</f>
        <v>0.000256517616732588</v>
      </c>
      <c r="S85" s="78" t="n">
        <f aca="false">IFERROR((Q85+R85)/2,0)</f>
        <v>0.000230345756905434</v>
      </c>
      <c r="T85" s="64" t="n">
        <v>0.99872932615725</v>
      </c>
      <c r="U85" s="40" t="n">
        <f aca="false">IFERROR(POWER(K85/C85,1/8)-1,"n/a")</f>
        <v>0.0665155952261225</v>
      </c>
      <c r="V85" s="58" t="n">
        <f aca="false">IFERROR(POWER(K85/H85,1/3)-1,"n/a")</f>
        <v>-0.285728722244542</v>
      </c>
      <c r="W85" s="53" t="n">
        <f aca="false">IFERROR(V85-U85,"n/a")</f>
        <v>-0.352244317470665</v>
      </c>
      <c r="X85" s="43" t="n">
        <f aca="false">IFERROR(SLOPE(C85:K85,{1,2,3,4,5,6,7,8,9})/AVERAGEIF(C85:K85,"&gt;0"),"n/a")</f>
        <v>0.117702146787991</v>
      </c>
      <c r="Y85" s="59" t="n">
        <f aca="false">IFERROR(SLOPE(H85:K85,{1,2,3,4})/AVERAGEIF(H85:K85,"&gt;0"),"n/a")</f>
        <v>-0.284410983170948</v>
      </c>
      <c r="Z85" s="80" t="n">
        <f aca="false">IFERROR(H85/G85,"n/a")</f>
        <v>2.44652144418482</v>
      </c>
      <c r="AA85" s="45" t="n">
        <f aca="false">IFERROR(H85/F85,"n/a")</f>
        <v>1.20527292981805</v>
      </c>
      <c r="AB85" s="45" t="n">
        <v>0.949793327428403</v>
      </c>
      <c r="AC85" s="47" t="s">
        <v>97</v>
      </c>
      <c r="AD85" s="48" t="n">
        <v>0.035</v>
      </c>
      <c r="AE85" s="49" t="s">
        <v>98</v>
      </c>
    </row>
    <row r="86" customFormat="false" ht="16.5" hidden="false" customHeight="true" outlineLevel="0" collapsed="false">
      <c r="A86" s="94" t="s">
        <v>238</v>
      </c>
      <c r="B86" s="95" t="s">
        <v>239</v>
      </c>
      <c r="C86" s="50" t="s">
        <v>84</v>
      </c>
      <c r="D86" s="50" t="s">
        <v>84</v>
      </c>
      <c r="E86" s="50" t="s">
        <v>84</v>
      </c>
      <c r="F86" s="50" t="s">
        <v>84</v>
      </c>
      <c r="G86" s="30" t="n">
        <v>10719</v>
      </c>
      <c r="H86" s="31" t="n">
        <v>17556</v>
      </c>
      <c r="I86" s="31" t="n">
        <v>19288</v>
      </c>
      <c r="J86" s="31" t="n">
        <v>18878</v>
      </c>
      <c r="K86" s="31" t="n">
        <v>29015</v>
      </c>
      <c r="L86" s="32" t="n">
        <v>50169</v>
      </c>
      <c r="M86" s="33" t="n">
        <f aca="false">IFERROR(AVERAGEIF(C86:G86,"&gt;0"),0)</f>
        <v>10719</v>
      </c>
      <c r="N86" s="34" t="n">
        <f aca="false">IFERROR(AVERAGEIF(H86:K86,"&gt;0"),0)</f>
        <v>21184.25</v>
      </c>
      <c r="O86" s="87" t="n">
        <f aca="false">N86-M86</f>
        <v>10465.25</v>
      </c>
      <c r="P86" s="36" t="n">
        <f aca="false">IFERROR(N86/M86,"n/a")</f>
        <v>1.97632708275026</v>
      </c>
      <c r="Q86" s="69" t="n">
        <f aca="false">IFERROR(N86/$C$3,0)</f>
        <v>0.000191553183311805</v>
      </c>
      <c r="R86" s="69" t="n">
        <f aca="false">IFERROR(O86/$D$4,0)</f>
        <v>0.000238006329217561</v>
      </c>
      <c r="S86" s="78" t="n">
        <f aca="false">IFERROR((Q86+R86)/2,0)</f>
        <v>0.000214779756264683</v>
      </c>
      <c r="T86" s="64" t="n">
        <v>0.998948677126827</v>
      </c>
      <c r="U86" s="41" t="str">
        <f aca="false">IFERROR(POWER(K86/C86,1/8)-1,"n/a")</f>
        <v>n/a</v>
      </c>
      <c r="V86" s="40" t="n">
        <f aca="false">IFERROR(POWER(K86/H86,1/3)-1,"n/a")</f>
        <v>0.182312644433412</v>
      </c>
      <c r="W86" s="53" t="str">
        <f aca="false">IFERROR(V86-U86,"n/a")</f>
        <v>n/a</v>
      </c>
      <c r="X86" s="43" t="n">
        <f aca="false">IFERROR(SLOPE(C86:K86,{1,2,3,4,5,6,7,8,9})/AVERAGEIF(C86:K86,"&gt;0"),"n/a")</f>
        <v>0.198594116661079</v>
      </c>
      <c r="Y86" s="43" t="n">
        <f aca="false">IFERROR(SLOPE(H86:K86,{1,2,3,4})/AVERAGEIF(H86:K86,"&gt;0"),"n/a")</f>
        <v>0.160340819240709</v>
      </c>
      <c r="Z86" s="67" t="n">
        <f aca="false">IFERROR(H86/G86,"n/a")</f>
        <v>1.6378393506857</v>
      </c>
      <c r="AA86" s="45" t="str">
        <f aca="false">IFERROR(H86/F86,"n/a")</f>
        <v>n/a</v>
      </c>
      <c r="AB86" s="56" t="n">
        <v>1.3699328510568</v>
      </c>
      <c r="AC86" s="47" t="s">
        <v>172</v>
      </c>
      <c r="AD86" s="65" t="n">
        <v>0.15</v>
      </c>
      <c r="AE86" s="66" t="s">
        <v>173</v>
      </c>
    </row>
    <row r="87" customFormat="false" ht="16.5" hidden="false" customHeight="true" outlineLevel="0" collapsed="false">
      <c r="A87" s="94" t="s">
        <v>240</v>
      </c>
      <c r="B87" s="95" t="s">
        <v>241</v>
      </c>
      <c r="C87" s="30" t="n">
        <v>108</v>
      </c>
      <c r="D87" s="30" t="n">
        <v>4318</v>
      </c>
      <c r="E87" s="30" t="n">
        <v>4470</v>
      </c>
      <c r="F87" s="30" t="n">
        <v>26163</v>
      </c>
      <c r="G87" s="30" t="n">
        <v>7254</v>
      </c>
      <c r="H87" s="31" t="n">
        <v>20567</v>
      </c>
      <c r="I87" s="31" t="n">
        <v>9213</v>
      </c>
      <c r="J87" s="31" t="n">
        <v>10175</v>
      </c>
      <c r="K87" s="31" t="n">
        <v>33931</v>
      </c>
      <c r="L87" s="32" t="n">
        <v>56347</v>
      </c>
      <c r="M87" s="33" t="n">
        <f aca="false">IFERROR(AVERAGEIF(C87:G87,"&gt;0"),0)</f>
        <v>8462.6</v>
      </c>
      <c r="N87" s="34" t="n">
        <f aca="false">IFERROR(AVERAGEIF(H87:K87,"&gt;0"),0)</f>
        <v>18471.5</v>
      </c>
      <c r="O87" s="87" t="n">
        <f aca="false">N87-M87</f>
        <v>10008.9</v>
      </c>
      <c r="P87" s="51" t="n">
        <f aca="false">IFERROR(N87/M87,"n/a")</f>
        <v>2.18272162219649</v>
      </c>
      <c r="Q87" s="69" t="n">
        <f aca="false">IFERROR(N87/$C$3,0)</f>
        <v>0.000167023832589967</v>
      </c>
      <c r="R87" s="69" t="n">
        <f aca="false">IFERROR(O87/$D$4,0)</f>
        <v>0.000227627772724555</v>
      </c>
      <c r="S87" s="78" t="n">
        <f aca="false">IFERROR((Q87+R87)/2,0)</f>
        <v>0.000197325802657261</v>
      </c>
      <c r="T87" s="64" t="n">
        <v>0.99914998877589</v>
      </c>
      <c r="U87" s="41" t="n">
        <f aca="false">IFERROR(POWER(K87/C87,1/8)-1,"n/a")</f>
        <v>1.05185474513729</v>
      </c>
      <c r="V87" s="40" t="n">
        <f aca="false">IFERROR(POWER(K87/H87,1/3)-1,"n/a")</f>
        <v>0.18161293643742</v>
      </c>
      <c r="W87" s="53" t="n">
        <f aca="false">IFERROR(V87-U87,"n/a")</f>
        <v>-0.870241808699874</v>
      </c>
      <c r="X87" s="43" t="n">
        <f aca="false">IFERROR(SLOPE(C87:K87,{1,2,3,4,5,6,7,8,9})/AVERAGEIF(C87:K87,"&gt;0"),"n/a")</f>
        <v>0.202350708698009</v>
      </c>
      <c r="Y87" s="43" t="n">
        <f aca="false">IFERROR(SLOPE(H87:K87,{1,2,3,4})/AVERAGEIF(H87:K87,"&gt;0"),"n/a")</f>
        <v>0.222255907749777</v>
      </c>
      <c r="Z87" s="80" t="n">
        <f aca="false">IFERROR(H87/G87,"n/a")</f>
        <v>2.83526330300524</v>
      </c>
      <c r="AA87" s="45" t="n">
        <f aca="false">IFERROR(H87/F87,"n/a")</f>
        <v>0.7861101555632</v>
      </c>
      <c r="AB87" s="56" t="n">
        <v>2.23977478818721</v>
      </c>
      <c r="AC87" s="47" t="s">
        <v>121</v>
      </c>
      <c r="AD87" s="48" t="n">
        <v>0.05</v>
      </c>
      <c r="AE87" s="49" t="s">
        <v>122</v>
      </c>
    </row>
    <row r="88" customFormat="false" ht="16.5" hidden="false" customHeight="true" outlineLevel="0" collapsed="false">
      <c r="A88" s="94" t="s">
        <v>242</v>
      </c>
      <c r="B88" s="95" t="s">
        <v>243</v>
      </c>
      <c r="C88" s="50" t="s">
        <v>84</v>
      </c>
      <c r="D88" s="30" t="n">
        <v>3807</v>
      </c>
      <c r="E88" s="30" t="n">
        <v>30964</v>
      </c>
      <c r="F88" s="30" t="n">
        <v>250</v>
      </c>
      <c r="G88" s="30" t="n">
        <v>42999</v>
      </c>
      <c r="H88" s="31" t="n">
        <v>3711</v>
      </c>
      <c r="I88" s="31" t="n">
        <v>65483</v>
      </c>
      <c r="J88" s="31" t="n">
        <v>16579</v>
      </c>
      <c r="K88" s="31" t="n">
        <v>18124</v>
      </c>
      <c r="L88" s="32" t="n">
        <v>1913776</v>
      </c>
      <c r="M88" s="33" t="n">
        <f aca="false">IFERROR(AVERAGEIF(C88:G88,"&gt;0"),0)</f>
        <v>19505</v>
      </c>
      <c r="N88" s="34" t="n">
        <f aca="false">IFERROR(AVERAGEIF(H88:K88,"&gt;0"),0)</f>
        <v>25974.25</v>
      </c>
      <c r="O88" s="87" t="n">
        <f aca="false">N88-M88</f>
        <v>6469.25</v>
      </c>
      <c r="P88" s="36" t="n">
        <f aca="false">IFERROR(N88/M88,"n/a")</f>
        <v>1.33167136631633</v>
      </c>
      <c r="Q88" s="69" t="n">
        <f aca="false">IFERROR(N88/$C$3,0)</f>
        <v>0.000234865537917871</v>
      </c>
      <c r="R88" s="69" t="n">
        <f aca="false">IFERROR(O88/$D$4,0)</f>
        <v>0.000147127153703037</v>
      </c>
      <c r="S88" s="78" t="n">
        <f aca="false">IFERROR((Q88+R88)/2,0)</f>
        <v>0.000190996345810454</v>
      </c>
      <c r="T88" s="64" t="n">
        <v>0.999346589938363</v>
      </c>
      <c r="U88" s="41" t="str">
        <f aca="false">IFERROR(POWER(K88/C88,1/8)-1,"n/a")</f>
        <v>n/a</v>
      </c>
      <c r="V88" s="41" t="n">
        <f aca="false">IFERROR(POWER(K88/H88,1/3)-1,"n/a")</f>
        <v>0.696632178898433</v>
      </c>
      <c r="W88" s="42" t="str">
        <f aca="false">IFERROR(V88-U88,"n/a")</f>
        <v>n/a</v>
      </c>
      <c r="X88" s="43" t="n">
        <f aca="false">IFERROR(SLOPE(C88:K88,{1,2,3,4,5,6,7,8,9})/AVERAGEIF(C88:K88,"&gt;0"),"n/a")</f>
        <v>0.0966976829045795</v>
      </c>
      <c r="Y88" s="59" t="n">
        <f aca="false">IFERROR(SLOPE(H88:K88,{1,2,3,4})/AVERAGEIF(H88:K88,"&gt;0"),"n/a")</f>
        <v>-0.0218100618882162</v>
      </c>
      <c r="Z88" s="45" t="n">
        <f aca="false">IFERROR(H88/G88,"n/a")</f>
        <v>0.086304332658899</v>
      </c>
      <c r="AA88" s="55" t="n">
        <f aca="false">IFERROR(H88/F88,"n/a")</f>
        <v>14.844</v>
      </c>
      <c r="AB88" s="56" t="n">
        <v>61.4113849934711</v>
      </c>
      <c r="AC88" s="85" t="s">
        <v>244</v>
      </c>
      <c r="AD88" s="86" t="s">
        <v>140</v>
      </c>
      <c r="AE88" s="86" t="s">
        <v>84</v>
      </c>
    </row>
    <row r="89" customFormat="false" ht="16.5" hidden="false" customHeight="true" outlineLevel="0" collapsed="false">
      <c r="A89" s="94" t="s">
        <v>245</v>
      </c>
      <c r="B89" s="95" t="s">
        <v>246</v>
      </c>
      <c r="C89" s="30" t="n">
        <v>530</v>
      </c>
      <c r="D89" s="30" t="n">
        <v>2248</v>
      </c>
      <c r="E89" s="30" t="n">
        <v>3053</v>
      </c>
      <c r="F89" s="30" t="n">
        <v>4357</v>
      </c>
      <c r="G89" s="30" t="n">
        <v>1414</v>
      </c>
      <c r="H89" s="31" t="n">
        <v>12878</v>
      </c>
      <c r="I89" s="31" t="n">
        <v>2533</v>
      </c>
      <c r="J89" s="31" t="n">
        <v>11031</v>
      </c>
      <c r="K89" s="31" t="n">
        <v>18745</v>
      </c>
      <c r="L89" s="32" t="n">
        <v>3046</v>
      </c>
      <c r="M89" s="33" t="n">
        <f aca="false">IFERROR(AVERAGEIF(C89:G89,"&gt;0"),0)</f>
        <v>2320.4</v>
      </c>
      <c r="N89" s="34" t="n">
        <f aca="false">IFERROR(AVERAGEIF(H89:K89,"&gt;0"),0)</f>
        <v>11296.75</v>
      </c>
      <c r="O89" s="87" t="n">
        <f aca="false">N89-M89</f>
        <v>8976.35</v>
      </c>
      <c r="P89" s="51" t="n">
        <f aca="false">IFERROR(N89/M89,"n/a")</f>
        <v>4.86844940527495</v>
      </c>
      <c r="Q89" s="69" t="n">
        <f aca="false">IFERROR(N89/$C$3,0)</f>
        <v>0.000102147983694378</v>
      </c>
      <c r="R89" s="69" t="n">
        <f aca="false">IFERROR(O89/$D$4,0)</f>
        <v>0.000204144966749199</v>
      </c>
      <c r="S89" s="78" t="n">
        <f aca="false">IFERROR((Q89+R89)/2,0)</f>
        <v>0.000153146475221789</v>
      </c>
      <c r="T89" s="64" t="n">
        <v>0.999502174066746</v>
      </c>
      <c r="U89" s="41" t="n">
        <f aca="false">IFERROR(POWER(K89/C89,1/8)-1,"n/a")</f>
        <v>0.561623000431236</v>
      </c>
      <c r="V89" s="40" t="n">
        <f aca="false">IFERROR(POWER(K89/H89,1/3)-1,"n/a")</f>
        <v>0.133302050822135</v>
      </c>
      <c r="W89" s="53" t="n">
        <f aca="false">IFERROR(V89-U89,"n/a")</f>
        <v>-0.428320949609101</v>
      </c>
      <c r="X89" s="43" t="n">
        <f aca="false">IFERROR(SLOPE(C89:K89,{1,2,3,4,5,6,7,8,9})/AVERAGEIF(C89:K89,"&gt;0"),"n/a")</f>
        <v>0.281806335734033</v>
      </c>
      <c r="Y89" s="43" t="n">
        <f aca="false">IFERROR(SLOPE(H89:K89,{1,2,3,4})/AVERAGEIF(H89:K89,"&gt;0"),"n/a")</f>
        <v>0.23103104875296</v>
      </c>
      <c r="Z89" s="54" t="n">
        <f aca="false">IFERROR(H89/G89,"n/a")</f>
        <v>9.10749646393211</v>
      </c>
      <c r="AA89" s="67" t="n">
        <f aca="false">IFERROR(H89/F89,"n/a")</f>
        <v>2.9557034656874</v>
      </c>
      <c r="AB89" s="45" t="n">
        <v>0.913832149364493</v>
      </c>
      <c r="AC89" s="47" t="s">
        <v>121</v>
      </c>
      <c r="AD89" s="48" t="n">
        <v>0.05</v>
      </c>
      <c r="AE89" s="49" t="s">
        <v>122</v>
      </c>
    </row>
    <row r="90" customFormat="false" ht="16.5" hidden="false" customHeight="true" outlineLevel="0" collapsed="false">
      <c r="A90" s="94" t="s">
        <v>247</v>
      </c>
      <c r="B90" s="95" t="s">
        <v>248</v>
      </c>
      <c r="C90" s="30" t="n">
        <v>12530</v>
      </c>
      <c r="D90" s="30" t="n">
        <v>6601</v>
      </c>
      <c r="E90" s="50" t="s">
        <v>84</v>
      </c>
      <c r="F90" s="50" t="s">
        <v>84</v>
      </c>
      <c r="G90" s="30" t="n">
        <v>307</v>
      </c>
      <c r="H90" s="31" t="n">
        <v>45322</v>
      </c>
      <c r="I90" s="31" t="n">
        <v>328</v>
      </c>
      <c r="J90" s="31" t="n">
        <v>2070</v>
      </c>
      <c r="K90" s="31" t="n">
        <v>5953</v>
      </c>
      <c r="L90" s="32" t="n">
        <v>480</v>
      </c>
      <c r="M90" s="33" t="n">
        <f aca="false">IFERROR(AVERAGEIF(C90:G90,"&gt;0"),0)</f>
        <v>6479.33333333333</v>
      </c>
      <c r="N90" s="34" t="n">
        <f aca="false">IFERROR(AVERAGEIF(H90:K90,"&gt;0"),0)</f>
        <v>13418.25</v>
      </c>
      <c r="O90" s="87" t="n">
        <f aca="false">N90-M90</f>
        <v>6938.91666666667</v>
      </c>
      <c r="P90" s="51" t="n">
        <f aca="false">IFERROR(N90/M90,"n/a")</f>
        <v>2.07093065130157</v>
      </c>
      <c r="Q90" s="69" t="n">
        <f aca="false">IFERROR(N90/$C$3,0)</f>
        <v>0.000121331106929612</v>
      </c>
      <c r="R90" s="69" t="n">
        <f aca="false">IFERROR(O90/$D$4,0)</f>
        <v>0.000157808564972637</v>
      </c>
      <c r="S90" s="78" t="n">
        <f aca="false">IFERROR((Q90+R90)/2,0)</f>
        <v>0.000139569835951124</v>
      </c>
      <c r="T90" s="64" t="n">
        <v>0.999644639340725</v>
      </c>
      <c r="U90" s="58" t="n">
        <f aca="false">IFERROR(POWER(K90/C90,1/8)-1,"n/a")</f>
        <v>-0.0888327502109884</v>
      </c>
      <c r="V90" s="58" t="n">
        <f aca="false">IFERROR(POWER(K90/H90,1/3)-1,"n/a")</f>
        <v>-0.491674060459371</v>
      </c>
      <c r="W90" s="53" t="n">
        <f aca="false">IFERROR(V90-U90,"n/a")</f>
        <v>-0.402841310248383</v>
      </c>
      <c r="X90" s="59" t="n">
        <f aca="false">IFERROR(SLOPE(C90:K90,{1,2,3,4,5,6,7,8,9})/AVERAGEIF(C90:K90,"&gt;0"),"n/a")</f>
        <v>-0.0450189117858389</v>
      </c>
      <c r="Y90" s="59" t="n">
        <f aca="false">IFERROR(SLOPE(H90:K90,{1,2,3,4})/AVERAGEIF(H90:K90,"&gt;0"),"n/a")</f>
        <v>-0.867214428110968</v>
      </c>
      <c r="Z90" s="54" t="n">
        <f aca="false">IFERROR(H90/G90,"n/a")</f>
        <v>147.628664495114</v>
      </c>
      <c r="AA90" s="45" t="str">
        <f aca="false">IFERROR(H90/F90,"n/a")</f>
        <v>n/a</v>
      </c>
      <c r="AB90" s="46" t="n">
        <v>0.0187555505871977</v>
      </c>
      <c r="AC90" s="47" t="s">
        <v>121</v>
      </c>
      <c r="AD90" s="48" t="n">
        <v>0.05</v>
      </c>
      <c r="AE90" s="49" t="s">
        <v>122</v>
      </c>
    </row>
    <row r="91" customFormat="false" ht="16.5" hidden="false" customHeight="true" outlineLevel="0" collapsed="false">
      <c r="A91" s="94" t="s">
        <v>249</v>
      </c>
      <c r="B91" s="95" t="s">
        <v>250</v>
      </c>
      <c r="C91" s="30" t="n">
        <v>12298</v>
      </c>
      <c r="D91" s="30" t="n">
        <v>5218</v>
      </c>
      <c r="E91" s="30" t="n">
        <v>6899</v>
      </c>
      <c r="F91" s="30" t="n">
        <v>5820</v>
      </c>
      <c r="G91" s="30" t="n">
        <v>3250</v>
      </c>
      <c r="H91" s="31" t="n">
        <v>12216</v>
      </c>
      <c r="I91" s="31" t="n">
        <v>13709</v>
      </c>
      <c r="J91" s="31" t="n">
        <v>9914</v>
      </c>
      <c r="K91" s="31" t="n">
        <v>5926</v>
      </c>
      <c r="L91" s="32" t="n">
        <v>6985</v>
      </c>
      <c r="M91" s="33" t="n">
        <f aca="false">IFERROR(AVERAGEIF(C91:G91,"&gt;0"),0)</f>
        <v>6697</v>
      </c>
      <c r="N91" s="34" t="n">
        <f aca="false">IFERROR(AVERAGEIF(H91:K91,"&gt;0"),0)</f>
        <v>10441.25</v>
      </c>
      <c r="O91" s="87" t="n">
        <f aca="false">N91-M91</f>
        <v>3744.25</v>
      </c>
      <c r="P91" s="36" t="n">
        <f aca="false">IFERROR(N91/M91,"n/a")</f>
        <v>1.55909362401075</v>
      </c>
      <c r="Q91" s="69" t="n">
        <f aca="false">IFERROR(N91/$C$3,0)</f>
        <v>9.44123429082638E-005</v>
      </c>
      <c r="R91" s="69" t="n">
        <f aca="false">IFERROR(O91/$D$4,0)</f>
        <v>8.51537419720363E-005</v>
      </c>
      <c r="S91" s="78" t="n">
        <f aca="false">IFERROR((Q91+R91)/2,0)</f>
        <v>8.978304244015E-005</v>
      </c>
      <c r="T91" s="64" t="n">
        <v>0.999736675433473</v>
      </c>
      <c r="U91" s="58" t="n">
        <f aca="false">IFERROR(POWER(K91/C91,1/8)-1,"n/a")</f>
        <v>-0.0872204641653468</v>
      </c>
      <c r="V91" s="58" t="n">
        <f aca="false">IFERROR(POWER(K91/H91,1/3)-1,"n/a")</f>
        <v>-0.214262390879009</v>
      </c>
      <c r="W91" s="53" t="n">
        <f aca="false">IFERROR(V91-U91,"n/a")</f>
        <v>-0.127041926713662</v>
      </c>
      <c r="X91" s="43" t="n">
        <f aca="false">IFERROR(SLOPE(C91:K91,{1,2,3,4,5,6,7,8,9})/AVERAGEIF(C91:K91,"&gt;0"),"n/a")</f>
        <v>0.0171747508305648</v>
      </c>
      <c r="Y91" s="59" t="n">
        <f aca="false">IFERROR(SLOPE(H91:K91,{1,2,3,4})/AVERAGEIF(H91:K91,"&gt;0"),"n/a")</f>
        <v>-0.2170717107626</v>
      </c>
      <c r="Z91" s="54" t="n">
        <f aca="false">IFERROR(H91/G91,"n/a")</f>
        <v>3.75876923076923</v>
      </c>
      <c r="AA91" s="67" t="n">
        <f aca="false">IFERROR(H91/F91,"n/a")</f>
        <v>2.09896907216495</v>
      </c>
      <c r="AB91" s="56" t="n">
        <v>3.02393551219123</v>
      </c>
      <c r="AC91" s="47" t="s">
        <v>97</v>
      </c>
      <c r="AD91" s="48" t="n">
        <v>0.035</v>
      </c>
      <c r="AE91" s="49" t="s">
        <v>98</v>
      </c>
    </row>
    <row r="92" customFormat="false" ht="16.5" hidden="false" customHeight="true" outlineLevel="0" collapsed="false">
      <c r="A92" s="94" t="s">
        <v>251</v>
      </c>
      <c r="B92" s="95" t="s">
        <v>252</v>
      </c>
      <c r="C92" s="50" t="s">
        <v>84</v>
      </c>
      <c r="D92" s="50" t="s">
        <v>84</v>
      </c>
      <c r="E92" s="50" t="s">
        <v>84</v>
      </c>
      <c r="F92" s="30" t="n">
        <v>2500</v>
      </c>
      <c r="G92" s="30" t="n">
        <v>20755</v>
      </c>
      <c r="H92" s="31" t="n">
        <v>13680</v>
      </c>
      <c r="I92" s="50" t="s">
        <v>84</v>
      </c>
      <c r="J92" s="50" t="s">
        <v>84</v>
      </c>
      <c r="K92" s="50" t="s">
        <v>84</v>
      </c>
      <c r="L92" s="50" t="s">
        <v>84</v>
      </c>
      <c r="M92" s="33" t="n">
        <f aca="false">IFERROR(AVERAGEIF(C92:G92,"&gt;0"),0)</f>
        <v>11627.5</v>
      </c>
      <c r="N92" s="34" t="n">
        <f aca="false">IFERROR(AVERAGEIF(H92:K92,"&gt;0"),0)</f>
        <v>13680</v>
      </c>
      <c r="O92" s="87" t="n">
        <f aca="false">N92-M92</f>
        <v>2052.5</v>
      </c>
      <c r="P92" s="91" t="n">
        <f aca="false">IFERROR(N92/M92,"n/a")</f>
        <v>1.17652117824124</v>
      </c>
      <c r="Q92" s="69" t="n">
        <f aca="false">IFERROR(N92/$C$3,0)</f>
        <v>0.000123697914616071</v>
      </c>
      <c r="R92" s="69" t="n">
        <f aca="false">IFERROR(O92/$D$4,0)</f>
        <v>4.66790559918821E-005</v>
      </c>
      <c r="S92" s="78" t="n">
        <f aca="false">IFERROR((Q92+R92)/2,0)</f>
        <v>8.51884853039764E-005</v>
      </c>
      <c r="T92" s="64" t="n">
        <v>0.999824815838157</v>
      </c>
      <c r="U92" s="41" t="str">
        <f aca="false">IFERROR(POWER(K92/C92,1/8)-1,"n/a")</f>
        <v>n/a</v>
      </c>
      <c r="V92" s="70" t="str">
        <f aca="false">IFERROR(POWER(K92/H92,1/3)-1,"n/a")</f>
        <v>n/a</v>
      </c>
      <c r="W92" s="90" t="str">
        <f aca="false">IFERROR(V92-U92,"n/a")</f>
        <v>n/a</v>
      </c>
      <c r="X92" s="43" t="n">
        <f aca="false">IFERROR(SLOPE(C92:K92,{1,2,3,4,5,6,7,8,9})/AVERAGEIF(C92:K92,"&gt;0"),"n/a")</f>
        <v>0.45404088263165</v>
      </c>
      <c r="Y92" s="88" t="str">
        <f aca="false">IFERROR(SLOPE(H92:K92,{1,2,3,4})/AVERAGEIF(H92:K92,"&gt;0"),"n/a")</f>
        <v>n/a</v>
      </c>
      <c r="Z92" s="45" t="n">
        <f aca="false">IFERROR(H92/G92,"n/a")</f>
        <v>0.659118284750663</v>
      </c>
      <c r="AA92" s="55" t="n">
        <f aca="false">IFERROR(H92/F92,"n/a")</f>
        <v>5.472</v>
      </c>
      <c r="AB92" s="89" t="s">
        <v>147</v>
      </c>
      <c r="AC92" s="85" t="s">
        <v>244</v>
      </c>
      <c r="AD92" s="86" t="s">
        <v>140</v>
      </c>
      <c r="AE92" s="86" t="s">
        <v>84</v>
      </c>
    </row>
    <row r="93" customFormat="false" ht="16.5" hidden="false" customHeight="true" outlineLevel="0" collapsed="false">
      <c r="A93" s="94" t="s">
        <v>253</v>
      </c>
      <c r="B93" s="95" t="s">
        <v>254</v>
      </c>
      <c r="C93" s="50" t="s">
        <v>84</v>
      </c>
      <c r="D93" s="50" t="s">
        <v>84</v>
      </c>
      <c r="E93" s="50" t="s">
        <v>84</v>
      </c>
      <c r="F93" s="50" t="s">
        <v>84</v>
      </c>
      <c r="G93" s="30" t="n">
        <v>3167</v>
      </c>
      <c r="H93" s="50" t="s">
        <v>84</v>
      </c>
      <c r="I93" s="31" t="n">
        <v>1040</v>
      </c>
      <c r="J93" s="31" t="n">
        <v>11276</v>
      </c>
      <c r="K93" s="31" t="n">
        <v>7305</v>
      </c>
      <c r="L93" s="32" t="n">
        <v>24126</v>
      </c>
      <c r="M93" s="33" t="n">
        <f aca="false">IFERROR(AVERAGEIF(C93:G93,"&gt;0"),0)</f>
        <v>3167</v>
      </c>
      <c r="N93" s="34" t="n">
        <f aca="false">IFERROR(AVERAGEIF(H93:K93,"&gt;0"),0)</f>
        <v>6540.33333333333</v>
      </c>
      <c r="O93" s="87" t="n">
        <f aca="false">N93-M93</f>
        <v>3373.33333333333</v>
      </c>
      <c r="P93" s="51" t="n">
        <f aca="false">IFERROR(N93/M93,"n/a")</f>
        <v>2.06515103673298</v>
      </c>
      <c r="Q93" s="69" t="n">
        <f aca="false">IFERROR(N93/$C$3,0)</f>
        <v>5.91392978236336E-005</v>
      </c>
      <c r="R93" s="69" t="n">
        <f aca="false">IFERROR(O93/$D$4,0)</f>
        <v>7.67181561734221E-005</v>
      </c>
      <c r="S93" s="78" t="n">
        <f aca="false">IFERROR((Q93+R93)/2,0)</f>
        <v>6.79287269985278E-005</v>
      </c>
      <c r="T93" s="64" t="n">
        <v>0.999894155861699</v>
      </c>
      <c r="U93" s="41" t="str">
        <f aca="false">IFERROR(POWER(K93/C93,1/8)-1,"n/a")</f>
        <v>n/a</v>
      </c>
      <c r="V93" s="41" t="str">
        <f aca="false">IFERROR(POWER(K93/H93,1/3)-1,"n/a")</f>
        <v>n/a</v>
      </c>
      <c r="W93" s="42" t="str">
        <f aca="false">IFERROR(V93-U93,"n/a")</f>
        <v>n/a</v>
      </c>
      <c r="X93" s="43" t="n">
        <f aca="false">IFERROR(SLOPE(C93:K93,{1,2,3,4,5,6,7,8,9})/AVERAGEIF(C93:K93,"&gt;0"),"n/a")</f>
        <v>0.277940770831766</v>
      </c>
      <c r="Y93" s="43" t="n">
        <f aca="false">IFERROR(SLOPE(H93:K93,{1,2,3,4})/AVERAGEIF(H93:K93,"&gt;0"),"n/a")</f>
        <v>0.478951123795933</v>
      </c>
      <c r="Z93" s="45" t="str">
        <f aca="false">IFERROR(H93/G93,"n/a")</f>
        <v>n/a</v>
      </c>
      <c r="AA93" s="45" t="str">
        <f aca="false">IFERROR(H93/F93,"n/a")</f>
        <v>n/a</v>
      </c>
      <c r="AB93" s="56" t="n">
        <v>1.35777992966719</v>
      </c>
      <c r="AC93" s="85" t="s">
        <v>139</v>
      </c>
      <c r="AD93" s="86" t="s">
        <v>140</v>
      </c>
      <c r="AE93" s="86" t="s">
        <v>84</v>
      </c>
    </row>
    <row r="94" customFormat="false" ht="16.5" hidden="false" customHeight="true" outlineLevel="0" collapsed="false">
      <c r="A94" s="94" t="s">
        <v>255</v>
      </c>
      <c r="B94" s="95" t="s">
        <v>256</v>
      </c>
      <c r="C94" s="50" t="s">
        <v>84</v>
      </c>
      <c r="D94" s="50" t="s">
        <v>84</v>
      </c>
      <c r="E94" s="50" t="s">
        <v>84</v>
      </c>
      <c r="F94" s="50" t="s">
        <v>84</v>
      </c>
      <c r="G94" s="30" t="n">
        <v>307</v>
      </c>
      <c r="H94" s="50" t="s">
        <v>84</v>
      </c>
      <c r="I94" s="31" t="n">
        <v>4803</v>
      </c>
      <c r="J94" s="31" t="n">
        <v>472</v>
      </c>
      <c r="K94" s="50" t="s">
        <v>84</v>
      </c>
      <c r="L94" s="50" t="s">
        <v>84</v>
      </c>
      <c r="M94" s="33" t="n">
        <f aca="false">IFERROR(AVERAGEIF(C94:G94,"&gt;0"),0)</f>
        <v>307</v>
      </c>
      <c r="N94" s="34" t="n">
        <f aca="false">IFERROR(AVERAGEIF(H94:K94,"&gt;0"),0)</f>
        <v>2637.5</v>
      </c>
      <c r="O94" s="87" t="n">
        <f aca="false">N94-M94</f>
        <v>2330.5</v>
      </c>
      <c r="P94" s="51" t="n">
        <f aca="false">IFERROR(N94/M94,"n/a")</f>
        <v>8.59120521172638</v>
      </c>
      <c r="Q94" s="69" t="n">
        <f aca="false">IFERROR(N94/$C$3,0)</f>
        <v>2.38489217689976E-005</v>
      </c>
      <c r="R94" s="69" t="n">
        <f aca="false">IFERROR(O94/$D$4,0)</f>
        <v>5.30014811152649E-005</v>
      </c>
      <c r="S94" s="78" t="n">
        <f aca="false">IFERROR((Q94+R94)/2,0)</f>
        <v>3.84252014421312E-005</v>
      </c>
      <c r="T94" s="64" t="n">
        <v>0.999933150192335</v>
      </c>
      <c r="U94" s="40" t="str">
        <f aca="false">IFERROR(POWER(K94/C94,1/8)-1,"n/a")</f>
        <v>n/a</v>
      </c>
      <c r="V94" s="58" t="str">
        <f aca="false">IFERROR(POWER(K94/H94,1/3)-1,"n/a")</f>
        <v>n/a</v>
      </c>
      <c r="W94" s="53" t="str">
        <f aca="false">IFERROR(V94-U94,"n/a")</f>
        <v>n/a</v>
      </c>
      <c r="X94" s="43" t="n">
        <f aca="false">IFERROR(SLOPE(C94:K94,{1,2,3,4,5,6,7,8,9})/AVERAGEIF(C94:K94,"&gt;0"),"n/a")</f>
        <v>0.197932128781287</v>
      </c>
      <c r="Y94" s="88" t="n">
        <f aca="false">IFERROR(SLOPE(H94:K94,{1,2,3,4})/AVERAGEIF(H94:K94,"&gt;0"),"n/a")</f>
        <v>-1.64208530805687</v>
      </c>
      <c r="Z94" s="45" t="str">
        <f aca="false">IFERROR(H94/G94,"n/a")</f>
        <v>n/a</v>
      </c>
      <c r="AA94" s="45" t="str">
        <f aca="false">IFERROR(H94/F94,"n/a")</f>
        <v>n/a</v>
      </c>
      <c r="AB94" s="89" t="s">
        <v>147</v>
      </c>
      <c r="AC94" s="47" t="s">
        <v>121</v>
      </c>
      <c r="AD94" s="48" t="n">
        <v>0.05</v>
      </c>
      <c r="AE94" s="49" t="s">
        <v>122</v>
      </c>
    </row>
    <row r="95" customFormat="false" ht="16.5" hidden="false" customHeight="true" outlineLevel="0" collapsed="false">
      <c r="A95" s="94" t="s">
        <v>257</v>
      </c>
      <c r="B95" s="95" t="s">
        <v>258</v>
      </c>
      <c r="C95" s="50" t="s">
        <v>84</v>
      </c>
      <c r="D95" s="50" t="s">
        <v>84</v>
      </c>
      <c r="E95" s="50" t="s">
        <v>84</v>
      </c>
      <c r="F95" s="50" t="s">
        <v>84</v>
      </c>
      <c r="G95" s="30" t="n">
        <v>1089</v>
      </c>
      <c r="H95" s="31" t="n">
        <v>10</v>
      </c>
      <c r="I95" s="31" t="n">
        <v>633</v>
      </c>
      <c r="J95" s="31" t="n">
        <v>669</v>
      </c>
      <c r="K95" s="31" t="n">
        <v>9403</v>
      </c>
      <c r="L95" s="32" t="n">
        <v>4500</v>
      </c>
      <c r="M95" s="33" t="n">
        <f aca="false">IFERROR(AVERAGEIF(C95:G95,"&gt;0"),0)</f>
        <v>1089</v>
      </c>
      <c r="N95" s="34" t="n">
        <f aca="false">IFERROR(AVERAGEIF(H95:K95,"&gt;0"),0)</f>
        <v>2678.75</v>
      </c>
      <c r="O95" s="87" t="n">
        <f aca="false">N95-M95</f>
        <v>1589.75</v>
      </c>
      <c r="P95" s="51" t="n">
        <f aca="false">IFERROR(N95/M95,"n/a")</f>
        <v>2.45982552800735</v>
      </c>
      <c r="Q95" s="69" t="n">
        <f aca="false">IFERROR(N95/$C$3,0)</f>
        <v>2.42219143843421E-005</v>
      </c>
      <c r="R95" s="69" t="n">
        <f aca="false">IFERROR(O95/$D$4,0)</f>
        <v>3.61549472658195E-005</v>
      </c>
      <c r="S95" s="78" t="n">
        <f aca="false">IFERROR((Q95+R95)/2,0)</f>
        <v>3.01884308250808E-005</v>
      </c>
      <c r="T95" s="64" t="n">
        <v>0.999963916653426</v>
      </c>
      <c r="U95" s="41" t="str">
        <f aca="false">IFERROR(POWER(K95/C95,1/8)-1,"n/a")</f>
        <v>n/a</v>
      </c>
      <c r="V95" s="41" t="n">
        <f aca="false">IFERROR(POWER(K95/H95,1/3)-1,"n/a")</f>
        <v>8.79690308919381</v>
      </c>
      <c r="W95" s="42" t="str">
        <f aca="false">IFERROR(V95-U95,"n/a")</f>
        <v>n/a</v>
      </c>
      <c r="X95" s="43" t="n">
        <f aca="false">IFERROR(SLOPE(C95:K95,{1,2,3,4,5,6,7,8,9})/AVERAGEIF(C95:K95,"&gt;0"),"n/a")</f>
        <v>0.732251779057947</v>
      </c>
      <c r="Y95" s="43" t="n">
        <f aca="false">IFERROR(SLOPE(H95:K95,{1,2,3,4})/AVERAGEIF(H95:K95,"&gt;0"),"n/a")</f>
        <v>1.05328978068129</v>
      </c>
      <c r="Z95" s="45" t="n">
        <f aca="false">IFERROR(H95/G95,"n/a")</f>
        <v>0.00918273645546373</v>
      </c>
      <c r="AA95" s="45" t="str">
        <f aca="false">IFERROR(H95/F95,"n/a")</f>
        <v>n/a</v>
      </c>
      <c r="AB95" s="56" t="n">
        <v>1.65282314512366</v>
      </c>
      <c r="AC95" s="47" t="s">
        <v>80</v>
      </c>
      <c r="AD95" s="48" t="n">
        <v>0.025</v>
      </c>
      <c r="AE95" s="49" t="s">
        <v>81</v>
      </c>
    </row>
    <row r="96" customFormat="false" ht="16.5" hidden="false" customHeight="true" outlineLevel="0" collapsed="false">
      <c r="A96" s="94" t="s">
        <v>259</v>
      </c>
      <c r="B96" s="95" t="s">
        <v>260</v>
      </c>
      <c r="C96" s="50" t="s">
        <v>84</v>
      </c>
      <c r="D96" s="50" t="s">
        <v>84</v>
      </c>
      <c r="E96" s="50" t="s">
        <v>84</v>
      </c>
      <c r="F96" s="30" t="n">
        <v>18</v>
      </c>
      <c r="G96" s="30" t="n">
        <v>322</v>
      </c>
      <c r="H96" s="50" t="s">
        <v>84</v>
      </c>
      <c r="I96" s="50" t="s">
        <v>84</v>
      </c>
      <c r="J96" s="31" t="n">
        <v>1723</v>
      </c>
      <c r="K96" s="50" t="s">
        <v>84</v>
      </c>
      <c r="L96" s="50" t="s">
        <v>84</v>
      </c>
      <c r="M96" s="33" t="n">
        <f aca="false">IFERROR(AVERAGEIF(C96:G96,"&gt;0"),0)</f>
        <v>170</v>
      </c>
      <c r="N96" s="34" t="n">
        <f aca="false">IFERROR(AVERAGEIF(H96:K96,"&gt;0"),0)</f>
        <v>1723</v>
      </c>
      <c r="O96" s="87" t="n">
        <f aca="false">N96-M96</f>
        <v>1553</v>
      </c>
      <c r="P96" s="51" t="n">
        <f aca="false">IFERROR(N96/M96,"n/a")</f>
        <v>10.1352941176471</v>
      </c>
      <c r="Q96" s="69" t="n">
        <f aca="false">IFERROR(N96/$C$3,0)</f>
        <v>1.5579788514875E-005</v>
      </c>
      <c r="R96" s="69" t="n">
        <f aca="false">IFERROR(O96/$D$4,0)</f>
        <v>3.53191590525665E-005</v>
      </c>
      <c r="S96" s="78" t="n">
        <f aca="false">IFERROR((Q96+R96)/2,0)</f>
        <v>2.54494737837208E-005</v>
      </c>
      <c r="T96" s="64" t="n">
        <v>0.999989737922318</v>
      </c>
      <c r="U96" s="41" t="str">
        <f aca="false">IFERROR(POWER(K96/C96,1/8)-1,"n/a")</f>
        <v>n/a</v>
      </c>
      <c r="V96" s="70" t="str">
        <f aca="false">IFERROR(POWER(K96/H96,1/3)-1,"n/a")</f>
        <v>n/a</v>
      </c>
      <c r="W96" s="90" t="str">
        <f aca="false">IFERROR(V96-U96,"n/a")</f>
        <v>n/a</v>
      </c>
      <c r="X96" s="43" t="n">
        <f aca="false">IFERROR(SLOPE(C96:K96,{1,2,3,4,5,6,7,8,9})/AVERAGEIF(C96:K96,"&gt;0"),"n/a")</f>
        <v>0.633524739923189</v>
      </c>
      <c r="Y96" s="88" t="str">
        <f aca="false">IFERROR(SLOPE(H96:K96,{1,2,3,4})/AVERAGEIF(H96:K96,"&gt;0"),"n/a")</f>
        <v>n/a</v>
      </c>
      <c r="Z96" s="45" t="str">
        <f aca="false">IFERROR(H96/G96,"n/a")</f>
        <v>n/a</v>
      </c>
      <c r="AA96" s="45" t="str">
        <f aca="false">IFERROR(H96/F96,"n/a")</f>
        <v>n/a</v>
      </c>
      <c r="AB96" s="89" t="s">
        <v>147</v>
      </c>
      <c r="AC96" s="47" t="s">
        <v>121</v>
      </c>
      <c r="AD96" s="48" t="n">
        <v>0.05</v>
      </c>
      <c r="AE96" s="49" t="s">
        <v>122</v>
      </c>
    </row>
    <row r="97" customFormat="false" ht="16.5" hidden="false" customHeight="true" outlineLevel="0" collapsed="false">
      <c r="A97" s="94" t="s">
        <v>261</v>
      </c>
      <c r="B97" s="95" t="s">
        <v>262</v>
      </c>
      <c r="C97" s="50" t="s">
        <v>84</v>
      </c>
      <c r="D97" s="50" t="s">
        <v>84</v>
      </c>
      <c r="E97" s="50" t="s">
        <v>84</v>
      </c>
      <c r="F97" s="50" t="s">
        <v>84</v>
      </c>
      <c r="G97" s="30" t="n">
        <v>293</v>
      </c>
      <c r="H97" s="50" t="s">
        <v>84</v>
      </c>
      <c r="I97" s="31" t="n">
        <v>622</v>
      </c>
      <c r="J97" s="50" t="s">
        <v>84</v>
      </c>
      <c r="K97" s="31" t="n">
        <v>443</v>
      </c>
      <c r="L97" s="32" t="n">
        <v>30007</v>
      </c>
      <c r="M97" s="33" t="n">
        <f aca="false">IFERROR(AVERAGEIF(C97:G97,"&gt;0"),0)</f>
        <v>293</v>
      </c>
      <c r="N97" s="34" t="n">
        <f aca="false">IFERROR(AVERAGEIF(H97:K97,"&gt;0"),0)</f>
        <v>532.5</v>
      </c>
      <c r="O97" s="87" t="n">
        <f aca="false">N97-M97</f>
        <v>239.5</v>
      </c>
      <c r="P97" s="36" t="n">
        <f aca="false">IFERROR(N97/M97,"n/a")</f>
        <v>1.81740614334471</v>
      </c>
      <c r="Q97" s="69" t="n">
        <f aca="false">IFERROR(N97/$C$3,0)</f>
        <v>4.81499557990188E-006</v>
      </c>
      <c r="R97" s="69" t="n">
        <f aca="false">IFERROR(O97/$D$4,0)</f>
        <v>5.44683747140353E-006</v>
      </c>
      <c r="S97" s="78" t="n">
        <f aca="false">IFERROR((Q97+R97)/2,0)</f>
        <v>5.13091652565271E-006</v>
      </c>
      <c r="T97" s="64" t="n">
        <v>0.999994983743601</v>
      </c>
      <c r="U97" s="40" t="str">
        <f aca="false">IFERROR(POWER(K97/C97,1/8)-1,"n/a")</f>
        <v>n/a</v>
      </c>
      <c r="V97" s="58" t="str">
        <f aca="false">IFERROR(POWER(K97/H97,1/3)-1,"n/a")</f>
        <v>n/a</v>
      </c>
      <c r="W97" s="53" t="str">
        <f aca="false">IFERROR(V97-U97,"n/a")</f>
        <v>n/a</v>
      </c>
      <c r="X97" s="43" t="n">
        <f aca="false">IFERROR(SLOPE(C97:K97,{1,2,3,4,5,6,7,8,9})/AVERAGEIF(C97:K97,"&gt;0"),"n/a")</f>
        <v>0.0828424153166421</v>
      </c>
      <c r="Y97" s="88" t="n">
        <f aca="false">IFERROR(SLOPE(H97:K97,{1,2,3,4})/AVERAGEIF(H97:K97,"&gt;0"),"n/a")</f>
        <v>-0.168075117370892</v>
      </c>
      <c r="Z97" s="45" t="str">
        <f aca="false">IFERROR(H97/G97,"n/a")</f>
        <v>n/a</v>
      </c>
      <c r="AA97" s="45" t="str">
        <f aca="false">IFERROR(H97/F97,"n/a")</f>
        <v>n/a</v>
      </c>
      <c r="AB97" s="56" t="n">
        <v>61.106103286385</v>
      </c>
      <c r="AC97" s="47" t="s">
        <v>76</v>
      </c>
      <c r="AD97" s="48" t="n">
        <v>0.04</v>
      </c>
      <c r="AE97" s="49" t="s">
        <v>77</v>
      </c>
    </row>
    <row r="98" customFormat="false" ht="16.5" hidden="false" customHeight="true" outlineLevel="0" collapsed="false">
      <c r="A98" s="94" t="s">
        <v>263</v>
      </c>
      <c r="B98" s="95" t="s">
        <v>264</v>
      </c>
      <c r="C98" s="50" t="s">
        <v>84</v>
      </c>
      <c r="D98" s="50" t="s">
        <v>84</v>
      </c>
      <c r="E98" s="50" t="s">
        <v>84</v>
      </c>
      <c r="F98" s="30" t="n">
        <v>29</v>
      </c>
      <c r="G98" s="30" t="n">
        <v>18</v>
      </c>
      <c r="H98" s="50" t="s">
        <v>84</v>
      </c>
      <c r="I98" s="31" t="n">
        <v>645</v>
      </c>
      <c r="J98" s="31" t="n">
        <v>11</v>
      </c>
      <c r="K98" s="50" t="s">
        <v>84</v>
      </c>
      <c r="L98" s="50" t="s">
        <v>84</v>
      </c>
      <c r="M98" s="33" t="n">
        <f aca="false">IFERROR(AVERAGEIF(C98:G98,"&gt;0"),0)</f>
        <v>23.5</v>
      </c>
      <c r="N98" s="34" t="n">
        <f aca="false">IFERROR(AVERAGEIF(H98:K98,"&gt;0"),0)</f>
        <v>328</v>
      </c>
      <c r="O98" s="87" t="n">
        <f aca="false">N98-M98</f>
        <v>304.5</v>
      </c>
      <c r="P98" s="51" t="n">
        <f aca="false">IFERROR(N98/M98,"n/a")</f>
        <v>13.9574468085106</v>
      </c>
      <c r="Q98" s="69" t="n">
        <f aca="false">IFERROR(N98/$C$3,0)</f>
        <v>2.96585643231515E-006</v>
      </c>
      <c r="R98" s="69" t="n">
        <f aca="false">IFERROR(O98/$D$4,0)</f>
        <v>6.92510233838153E-006</v>
      </c>
      <c r="S98" s="78" t="n">
        <f aca="false">IFERROR((Q98+R98)/2,0)</f>
        <v>4.94547938534834E-006</v>
      </c>
      <c r="T98" s="64" t="n">
        <v>1</v>
      </c>
      <c r="U98" s="58" t="str">
        <f aca="false">IFERROR(POWER(K98/C98,1/8)-1,"n/a")</f>
        <v>n/a</v>
      </c>
      <c r="V98" s="58" t="str">
        <f aca="false">IFERROR(POWER(K98/H98,1/3)-1,"n/a")</f>
        <v>n/a</v>
      </c>
      <c r="W98" s="53" t="str">
        <f aca="false">IFERROR(V98-U98,"n/a")</f>
        <v>n/a</v>
      </c>
      <c r="X98" s="43" t="n">
        <f aca="false">IFERROR(SLOPE(C98:K98,{1,2,3,4,5,6,7,8,9})/AVERAGEIF(C98:K98,"&gt;0"),"n/a")</f>
        <v>0.336273115220484</v>
      </c>
      <c r="Y98" s="88" t="n">
        <f aca="false">IFERROR(SLOPE(H98:K98,{1,2,3,4})/AVERAGEIF(H98:K98,"&gt;0"),"n/a")</f>
        <v>-1.93292682926829</v>
      </c>
      <c r="Z98" s="45" t="str">
        <f aca="false">IFERROR(H98/G98,"n/a")</f>
        <v>n/a</v>
      </c>
      <c r="AA98" s="45" t="str">
        <f aca="false">IFERROR(H98/F98,"n/a")</f>
        <v>n/a</v>
      </c>
      <c r="AB98" s="46" t="n">
        <v>0.524390243902439</v>
      </c>
      <c r="AC98" s="47" t="s">
        <v>121</v>
      </c>
      <c r="AD98" s="48" t="n">
        <v>0.05</v>
      </c>
      <c r="AE98" s="49" t="s">
        <v>122</v>
      </c>
    </row>
    <row r="100" customFormat="false" ht="21.75" hidden="false" customHeight="true" outlineLevel="0" collapsed="false">
      <c r="A100" s="97" t="s">
        <v>265</v>
      </c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</row>
    <row r="101" customFormat="false" ht="15" hidden="false" customHeight="true" outlineLevel="0" collapsed="false">
      <c r="A101" s="93" t="s">
        <v>266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</row>
    <row r="102" customFormat="false" ht="16.5" hidden="false" customHeight="true" outlineLevel="0" collapsed="false">
      <c r="A102" s="94" t="s">
        <v>267</v>
      </c>
      <c r="B102" s="95" t="s">
        <v>268</v>
      </c>
      <c r="C102" s="50" t="s">
        <v>84</v>
      </c>
      <c r="D102" s="50" t="s">
        <v>84</v>
      </c>
      <c r="E102" s="50" t="s">
        <v>84</v>
      </c>
      <c r="F102" s="50" t="s">
        <v>84</v>
      </c>
      <c r="G102" s="50" t="s">
        <v>84</v>
      </c>
      <c r="H102" s="50" t="s">
        <v>84</v>
      </c>
      <c r="I102" s="50" t="s">
        <v>84</v>
      </c>
      <c r="J102" s="50" t="s">
        <v>84</v>
      </c>
      <c r="K102" s="50" t="s">
        <v>84</v>
      </c>
      <c r="L102" s="50" t="s">
        <v>84</v>
      </c>
      <c r="M102" s="33" t="n">
        <f aca="false">IFERROR(AVERAGEIF(C102:G102,"&gt;0"),0)</f>
        <v>0</v>
      </c>
      <c r="N102" s="34" t="n">
        <f aca="false">IFERROR(AVERAGEIF(H102:K102,"&gt;0"),0)</f>
        <v>0</v>
      </c>
      <c r="O102" s="87" t="n">
        <f aca="false">N102-M102</f>
        <v>0</v>
      </c>
      <c r="P102" s="77" t="str">
        <f aca="false">IFERROR(N102/M102,"n/a")</f>
        <v>n/a</v>
      </c>
      <c r="Q102" s="69" t="n">
        <f aca="false">IFERROR(N102/$C$3,0)</f>
        <v>0</v>
      </c>
      <c r="R102" s="69" t="n">
        <f aca="false">IFERROR(O102/$D$4,0)</f>
        <v>0</v>
      </c>
      <c r="S102" s="78" t="n">
        <f aca="false">IFERROR((Q102+R102)/2,0)</f>
        <v>0</v>
      </c>
      <c r="T102" s="79"/>
      <c r="U102" s="70" t="str">
        <f aca="false">IFERROR(POWER(K102/C102,1/8)-1,"n/a")</f>
        <v>n/a</v>
      </c>
      <c r="V102" s="70" t="str">
        <f aca="false">IFERROR(POWER(K102/H102,1/3)-1,"n/a")</f>
        <v>n/a</v>
      </c>
      <c r="W102" s="90" t="str">
        <f aca="false">IFERROR(V102-U102,"n/a")</f>
        <v>n/a</v>
      </c>
      <c r="X102" s="88" t="str">
        <f aca="false">IFERROR(SLOPE(C102:K102,{1,2,3,4,5,6,7,8,9})/AVERAGEIF(C102:K102,"&gt;0"),"n/a")</f>
        <v>n/a</v>
      </c>
      <c r="Y102" s="88" t="str">
        <f aca="false">IFERROR(SLOPE(H102:K102,{1,2,3,4})/AVERAGEIF(H102:K102,"&gt;0"),"n/a")</f>
        <v>n/a</v>
      </c>
      <c r="Z102" s="45" t="str">
        <f aca="false">IFERROR(H102/G102,"n/a")</f>
        <v>n/a</v>
      </c>
      <c r="AA102" s="45" t="str">
        <f aca="false">IFERROR(H102/F102,"n/a")</f>
        <v>n/a</v>
      </c>
      <c r="AB102" s="89" t="s">
        <v>147</v>
      </c>
      <c r="AC102" s="47" t="s">
        <v>269</v>
      </c>
      <c r="AD102" s="65" t="n">
        <v>0.1925</v>
      </c>
      <c r="AE102" s="66" t="s">
        <v>270</v>
      </c>
    </row>
    <row r="103" customFormat="false" ht="16.5" hidden="false" customHeight="true" outlineLevel="0" collapsed="false">
      <c r="A103" s="94" t="s">
        <v>271</v>
      </c>
      <c r="B103" s="95" t="s">
        <v>272</v>
      </c>
      <c r="C103" s="50" t="s">
        <v>84</v>
      </c>
      <c r="D103" s="50" t="s">
        <v>84</v>
      </c>
      <c r="E103" s="50" t="s">
        <v>84</v>
      </c>
      <c r="F103" s="50" t="s">
        <v>84</v>
      </c>
      <c r="G103" s="50" t="s">
        <v>84</v>
      </c>
      <c r="H103" s="50" t="s">
        <v>84</v>
      </c>
      <c r="I103" s="50" t="s">
        <v>84</v>
      </c>
      <c r="J103" s="50" t="s">
        <v>84</v>
      </c>
      <c r="K103" s="50" t="s">
        <v>84</v>
      </c>
      <c r="L103" s="50" t="s">
        <v>84</v>
      </c>
      <c r="M103" s="33" t="n">
        <f aca="false">IFERROR(AVERAGEIF(C103:G103,"&gt;0"),0)</f>
        <v>0</v>
      </c>
      <c r="N103" s="34" t="n">
        <f aca="false">IFERROR(AVERAGEIF(H103:K103,"&gt;0"),0)</f>
        <v>0</v>
      </c>
      <c r="O103" s="87" t="n">
        <f aca="false">N103-M103</f>
        <v>0</v>
      </c>
      <c r="P103" s="77" t="str">
        <f aca="false">IFERROR(N103/M103,"n/a")</f>
        <v>n/a</v>
      </c>
      <c r="Q103" s="69" t="n">
        <f aca="false">IFERROR(N103/$C$3,0)</f>
        <v>0</v>
      </c>
      <c r="R103" s="69" t="n">
        <f aca="false">IFERROR(O103/$D$4,0)</f>
        <v>0</v>
      </c>
      <c r="S103" s="78" t="n">
        <f aca="false">IFERROR((Q103+R103)/2,0)</f>
        <v>0</v>
      </c>
      <c r="T103" s="79"/>
      <c r="U103" s="70" t="str">
        <f aca="false">IFERROR(POWER(K103/C103,1/8)-1,"n/a")</f>
        <v>n/a</v>
      </c>
      <c r="V103" s="70" t="str">
        <f aca="false">IFERROR(POWER(K103/H103,1/3)-1,"n/a")</f>
        <v>n/a</v>
      </c>
      <c r="W103" s="90" t="str">
        <f aca="false">IFERROR(V103-U103,"n/a")</f>
        <v>n/a</v>
      </c>
      <c r="X103" s="88" t="str">
        <f aca="false">IFERROR(SLOPE(C103:K103,{1,2,3,4,5,6,7,8,9})/AVERAGEIF(C103:K103,"&gt;0"),"n/a")</f>
        <v>n/a</v>
      </c>
      <c r="Y103" s="88" t="str">
        <f aca="false">IFERROR(SLOPE(H103:K103,{1,2,3,4})/AVERAGEIF(H103:K103,"&gt;0"),"n/a")</f>
        <v>n/a</v>
      </c>
      <c r="Z103" s="45" t="str">
        <f aca="false">IFERROR(H103/G103,"n/a")</f>
        <v>n/a</v>
      </c>
      <c r="AA103" s="45" t="str">
        <f aca="false">IFERROR(H103/F103,"n/a")</f>
        <v>n/a</v>
      </c>
      <c r="AB103" s="89" t="s">
        <v>147</v>
      </c>
      <c r="AC103" s="47" t="s">
        <v>269</v>
      </c>
      <c r="AD103" s="65" t="n">
        <v>0.1925</v>
      </c>
      <c r="AE103" s="66" t="s">
        <v>270</v>
      </c>
    </row>
    <row r="104" customFormat="false" ht="16.5" hidden="false" customHeight="true" outlineLevel="0" collapsed="false">
      <c r="A104" s="94" t="s">
        <v>273</v>
      </c>
      <c r="B104" s="95" t="s">
        <v>274</v>
      </c>
      <c r="C104" s="50" t="s">
        <v>84</v>
      </c>
      <c r="D104" s="50" t="s">
        <v>84</v>
      </c>
      <c r="E104" s="50" t="s">
        <v>84</v>
      </c>
      <c r="F104" s="50" t="s">
        <v>84</v>
      </c>
      <c r="G104" s="50" t="s">
        <v>84</v>
      </c>
      <c r="H104" s="50" t="s">
        <v>84</v>
      </c>
      <c r="I104" s="50" t="s">
        <v>84</v>
      </c>
      <c r="J104" s="50" t="s">
        <v>84</v>
      </c>
      <c r="K104" s="50" t="s">
        <v>84</v>
      </c>
      <c r="L104" s="50" t="s">
        <v>84</v>
      </c>
      <c r="M104" s="33" t="n">
        <f aca="false">IFERROR(AVERAGEIF(C104:G104,"&gt;0"),0)</f>
        <v>0</v>
      </c>
      <c r="N104" s="34" t="n">
        <f aca="false">IFERROR(AVERAGEIF(H104:K104,"&gt;0"),0)</f>
        <v>0</v>
      </c>
      <c r="O104" s="87" t="n">
        <f aca="false">N104-M104</f>
        <v>0</v>
      </c>
      <c r="P104" s="77" t="str">
        <f aca="false">IFERROR(N104/M104,"n/a")</f>
        <v>n/a</v>
      </c>
      <c r="Q104" s="69" t="n">
        <f aca="false">IFERROR(N104/$C$3,0)</f>
        <v>0</v>
      </c>
      <c r="R104" s="69" t="n">
        <f aca="false">IFERROR(O104/$D$4,0)</f>
        <v>0</v>
      </c>
      <c r="S104" s="78" t="n">
        <f aca="false">IFERROR((Q104+R104)/2,0)</f>
        <v>0</v>
      </c>
      <c r="T104" s="79"/>
      <c r="U104" s="70" t="str">
        <f aca="false">IFERROR(POWER(K104/C104,1/8)-1,"n/a")</f>
        <v>n/a</v>
      </c>
      <c r="V104" s="70" t="str">
        <f aca="false">IFERROR(POWER(K104/H104,1/3)-1,"n/a")</f>
        <v>n/a</v>
      </c>
      <c r="W104" s="90" t="str">
        <f aca="false">IFERROR(V104-U104,"n/a")</f>
        <v>n/a</v>
      </c>
      <c r="X104" s="88" t="str">
        <f aca="false">IFERROR(SLOPE(C104:K104,{1,2,3,4,5,6,7,8,9})/AVERAGEIF(C104:K104,"&gt;0"),"n/a")</f>
        <v>n/a</v>
      </c>
      <c r="Y104" s="88" t="str">
        <f aca="false">IFERROR(SLOPE(H104:K104,{1,2,3,4})/AVERAGEIF(H104:K104,"&gt;0"),"n/a")</f>
        <v>n/a</v>
      </c>
      <c r="Z104" s="45" t="str">
        <f aca="false">IFERROR(H104/G104,"n/a")</f>
        <v>n/a</v>
      </c>
      <c r="AA104" s="45" t="str">
        <f aca="false">IFERROR(H104/F104,"n/a")</f>
        <v>n/a</v>
      </c>
      <c r="AB104" s="89" t="s">
        <v>147</v>
      </c>
      <c r="AC104" s="47" t="s">
        <v>121</v>
      </c>
      <c r="AD104" s="48" t="n">
        <v>0.05</v>
      </c>
      <c r="AE104" s="49" t="s">
        <v>122</v>
      </c>
    </row>
    <row r="105" customFormat="false" ht="16.5" hidden="false" customHeight="true" outlineLevel="0" collapsed="false">
      <c r="A105" s="94" t="s">
        <v>275</v>
      </c>
      <c r="B105" s="95" t="s">
        <v>276</v>
      </c>
      <c r="C105" s="50" t="s">
        <v>84</v>
      </c>
      <c r="D105" s="50" t="s">
        <v>84</v>
      </c>
      <c r="E105" s="30" t="n">
        <v>3733</v>
      </c>
      <c r="F105" s="50" t="s">
        <v>84</v>
      </c>
      <c r="G105" s="50" t="s">
        <v>84</v>
      </c>
      <c r="H105" s="50" t="s">
        <v>84</v>
      </c>
      <c r="I105" s="50" t="s">
        <v>84</v>
      </c>
      <c r="J105" s="50" t="s">
        <v>84</v>
      </c>
      <c r="K105" s="50" t="s">
        <v>84</v>
      </c>
      <c r="L105" s="32" t="n">
        <v>5</v>
      </c>
      <c r="M105" s="33" t="n">
        <f aca="false">IFERROR(AVERAGEIF(C105:G105,"&gt;0"),0)</f>
        <v>3733</v>
      </c>
      <c r="N105" s="34" t="n">
        <f aca="false">IFERROR(AVERAGEIF(H105:K105,"&gt;0"),0)</f>
        <v>0</v>
      </c>
      <c r="O105" s="76" t="n">
        <f aca="false">N105-M105</f>
        <v>-3733</v>
      </c>
      <c r="P105" s="77" t="n">
        <f aca="false">IFERROR(N105/M105,"n/a")</f>
        <v>0</v>
      </c>
      <c r="Q105" s="69" t="n">
        <f aca="false">IFERROR(N105/$C$3,0)</f>
        <v>0</v>
      </c>
      <c r="R105" s="69" t="n">
        <f aca="false">IFERROR(O105/$D$4,0)</f>
        <v>-8.4897888437367E-005</v>
      </c>
      <c r="S105" s="78" t="n">
        <f aca="false">IFERROR((Q105+R105)/2,0)</f>
        <v>-4.24489442186835E-005</v>
      </c>
      <c r="T105" s="79"/>
      <c r="U105" s="70" t="str">
        <f aca="false">IFERROR(POWER(K105/C105,1/8)-1,"n/a")</f>
        <v>n/a</v>
      </c>
      <c r="V105" s="70" t="str">
        <f aca="false">IFERROR(POWER(K105/H105,1/3)-1,"n/a")</f>
        <v>n/a</v>
      </c>
      <c r="W105" s="90" t="str">
        <f aca="false">IFERROR(V105-U105,"n/a")</f>
        <v>n/a</v>
      </c>
      <c r="X105" s="88" t="str">
        <f aca="false">IFERROR(SLOPE(C105:K105,{1,2,3,4,5,6,7,8,9})/AVERAGEIF(C105:K105,"&gt;0"),"n/a")</f>
        <v>n/a</v>
      </c>
      <c r="Y105" s="88" t="str">
        <f aca="false">IFERROR(SLOPE(H105:K105,{1,2,3,4})/AVERAGEIF(H105:K105,"&gt;0"),"n/a")</f>
        <v>n/a</v>
      </c>
      <c r="Z105" s="45" t="str">
        <f aca="false">IFERROR(H105/G105,"n/a")</f>
        <v>n/a</v>
      </c>
      <c r="AA105" s="45" t="str">
        <f aca="false">IFERROR(H105/F105,"n/a")</f>
        <v>n/a</v>
      </c>
      <c r="AB105" s="89" t="s">
        <v>147</v>
      </c>
      <c r="AC105" s="47" t="s">
        <v>172</v>
      </c>
      <c r="AD105" s="65" t="n">
        <v>0.15</v>
      </c>
      <c r="AE105" s="66" t="s">
        <v>173</v>
      </c>
    </row>
    <row r="106" customFormat="false" ht="16.5" hidden="false" customHeight="true" outlineLevel="0" collapsed="false">
      <c r="A106" s="94" t="s">
        <v>277</v>
      </c>
      <c r="B106" s="95" t="s">
        <v>278</v>
      </c>
      <c r="C106" s="50" t="s">
        <v>84</v>
      </c>
      <c r="D106" s="50" t="s">
        <v>84</v>
      </c>
      <c r="E106" s="50" t="s">
        <v>84</v>
      </c>
      <c r="F106" s="50" t="s">
        <v>84</v>
      </c>
      <c r="G106" s="50" t="s">
        <v>84</v>
      </c>
      <c r="H106" s="50" t="s">
        <v>84</v>
      </c>
      <c r="I106" s="50" t="s">
        <v>84</v>
      </c>
      <c r="J106" s="50" t="s">
        <v>84</v>
      </c>
      <c r="K106" s="50" t="s">
        <v>84</v>
      </c>
      <c r="L106" s="50" t="s">
        <v>84</v>
      </c>
      <c r="M106" s="33" t="n">
        <f aca="false">IFERROR(AVERAGEIF(C106:G106,"&gt;0"),0)</f>
        <v>0</v>
      </c>
      <c r="N106" s="34" t="n">
        <f aca="false">IFERROR(AVERAGEIF(H106:K106,"&gt;0"),0)</f>
        <v>0</v>
      </c>
      <c r="O106" s="87" t="n">
        <f aca="false">N106-M106</f>
        <v>0</v>
      </c>
      <c r="P106" s="77" t="str">
        <f aca="false">IFERROR(N106/M106,"n/a")</f>
        <v>n/a</v>
      </c>
      <c r="Q106" s="69" t="n">
        <f aca="false">IFERROR(N106/$C$3,0)</f>
        <v>0</v>
      </c>
      <c r="R106" s="69" t="n">
        <f aca="false">IFERROR(O106/$D$4,0)</f>
        <v>0</v>
      </c>
      <c r="S106" s="78" t="n">
        <f aca="false">IFERROR((Q106+R106)/2,0)</f>
        <v>0</v>
      </c>
      <c r="T106" s="79"/>
      <c r="U106" s="70" t="str">
        <f aca="false">IFERROR(POWER(K106/C106,1/8)-1,"n/a")</f>
        <v>n/a</v>
      </c>
      <c r="V106" s="70" t="str">
        <f aca="false">IFERROR(POWER(K106/H106,1/3)-1,"n/a")</f>
        <v>n/a</v>
      </c>
      <c r="W106" s="90" t="str">
        <f aca="false">IFERROR(V106-U106,"n/a")</f>
        <v>n/a</v>
      </c>
      <c r="X106" s="88" t="str">
        <f aca="false">IFERROR(SLOPE(C106:K106,{1,2,3,4,5,6,7,8,9})/AVERAGEIF(C106:K106,"&gt;0"),"n/a")</f>
        <v>n/a</v>
      </c>
      <c r="Y106" s="88" t="str">
        <f aca="false">IFERROR(SLOPE(H106:K106,{1,2,3,4})/AVERAGEIF(H106:K106,"&gt;0"),"n/a")</f>
        <v>n/a</v>
      </c>
      <c r="Z106" s="45" t="str">
        <f aca="false">IFERROR(H106/G106,"n/a")</f>
        <v>n/a</v>
      </c>
      <c r="AA106" s="45" t="str">
        <f aca="false">IFERROR(H106/F106,"n/a")</f>
        <v>n/a</v>
      </c>
      <c r="AB106" s="89" t="s">
        <v>147</v>
      </c>
      <c r="AC106" s="47" t="s">
        <v>279</v>
      </c>
      <c r="AD106" s="65" t="n">
        <v>3.89</v>
      </c>
      <c r="AE106" s="66" t="s">
        <v>280</v>
      </c>
    </row>
    <row r="107" customFormat="false" ht="16.5" hidden="false" customHeight="true" outlineLevel="0" collapsed="false">
      <c r="A107" s="94" t="s">
        <v>281</v>
      </c>
      <c r="B107" s="95" t="s">
        <v>282</v>
      </c>
      <c r="C107" s="50" t="s">
        <v>84</v>
      </c>
      <c r="D107" s="50" t="s">
        <v>84</v>
      </c>
      <c r="E107" s="50" t="s">
        <v>84</v>
      </c>
      <c r="F107" s="50" t="s">
        <v>84</v>
      </c>
      <c r="G107" s="50" t="s">
        <v>84</v>
      </c>
      <c r="H107" s="50" t="s">
        <v>84</v>
      </c>
      <c r="I107" s="50" t="s">
        <v>84</v>
      </c>
      <c r="J107" s="50" t="s">
        <v>84</v>
      </c>
      <c r="K107" s="50" t="s">
        <v>84</v>
      </c>
      <c r="L107" s="50" t="s">
        <v>84</v>
      </c>
      <c r="M107" s="33" t="n">
        <f aca="false">IFERROR(AVERAGEIF(C107:G107,"&gt;0"),0)</f>
        <v>0</v>
      </c>
      <c r="N107" s="34" t="n">
        <f aca="false">IFERROR(AVERAGEIF(H107:K107,"&gt;0"),0)</f>
        <v>0</v>
      </c>
      <c r="O107" s="87" t="n">
        <f aca="false">N107-M107</f>
        <v>0</v>
      </c>
      <c r="P107" s="77" t="str">
        <f aca="false">IFERROR(N107/M107,"n/a")</f>
        <v>n/a</v>
      </c>
      <c r="Q107" s="69" t="n">
        <f aca="false">IFERROR(N107/$C$3,0)</f>
        <v>0</v>
      </c>
      <c r="R107" s="69" t="n">
        <f aca="false">IFERROR(O107/$D$4,0)</f>
        <v>0</v>
      </c>
      <c r="S107" s="78" t="n">
        <f aca="false">IFERROR((Q107+R107)/2,0)</f>
        <v>0</v>
      </c>
      <c r="T107" s="79"/>
      <c r="U107" s="70" t="str">
        <f aca="false">IFERROR(POWER(K107/C107,1/8)-1,"n/a")</f>
        <v>n/a</v>
      </c>
      <c r="V107" s="70" t="str">
        <f aca="false">IFERROR(POWER(K107/H107,1/3)-1,"n/a")</f>
        <v>n/a</v>
      </c>
      <c r="W107" s="90" t="str">
        <f aca="false">IFERROR(V107-U107,"n/a")</f>
        <v>n/a</v>
      </c>
      <c r="X107" s="88" t="str">
        <f aca="false">IFERROR(SLOPE(C107:K107,{1,2,3,4,5,6,7,8,9})/AVERAGEIF(C107:K107,"&gt;0"),"n/a")</f>
        <v>n/a</v>
      </c>
      <c r="Y107" s="88" t="str">
        <f aca="false">IFERROR(SLOPE(H107:K107,{1,2,3,4})/AVERAGEIF(H107:K107,"&gt;0"),"n/a")</f>
        <v>n/a</v>
      </c>
      <c r="Z107" s="45" t="str">
        <f aca="false">IFERROR(H107/G107,"n/a")</f>
        <v>n/a</v>
      </c>
      <c r="AA107" s="45" t="str">
        <f aca="false">IFERROR(H107/F107,"n/a")</f>
        <v>n/a</v>
      </c>
      <c r="AB107" s="89" t="s">
        <v>147</v>
      </c>
      <c r="AC107" s="47" t="s">
        <v>80</v>
      </c>
      <c r="AD107" s="48" t="n">
        <v>0.025</v>
      </c>
      <c r="AE107" s="49" t="s">
        <v>81</v>
      </c>
    </row>
    <row r="108" customFormat="false" ht="16.5" hidden="false" customHeight="true" outlineLevel="0" collapsed="false">
      <c r="A108" s="94" t="s">
        <v>283</v>
      </c>
      <c r="B108" s="95" t="s">
        <v>284</v>
      </c>
      <c r="C108" s="50" t="s">
        <v>84</v>
      </c>
      <c r="D108" s="50" t="s">
        <v>84</v>
      </c>
      <c r="E108" s="50" t="s">
        <v>84</v>
      </c>
      <c r="F108" s="30" t="n">
        <v>45088</v>
      </c>
      <c r="G108" s="50" t="s">
        <v>84</v>
      </c>
      <c r="H108" s="50" t="s">
        <v>84</v>
      </c>
      <c r="I108" s="50" t="s">
        <v>84</v>
      </c>
      <c r="J108" s="50" t="s">
        <v>84</v>
      </c>
      <c r="K108" s="50" t="s">
        <v>84</v>
      </c>
      <c r="L108" s="32" t="n">
        <v>921913</v>
      </c>
      <c r="M108" s="33" t="n">
        <f aca="false">IFERROR(AVERAGEIF(C108:G108,"&gt;0"),0)</f>
        <v>45088</v>
      </c>
      <c r="N108" s="34" t="n">
        <f aca="false">IFERROR(AVERAGEIF(H108:K108,"&gt;0"),0)</f>
        <v>0</v>
      </c>
      <c r="O108" s="76" t="n">
        <f aca="false">N108-M108</f>
        <v>-45088</v>
      </c>
      <c r="P108" s="77" t="n">
        <f aca="false">IFERROR(N108/M108,"n/a")</f>
        <v>0</v>
      </c>
      <c r="Q108" s="69" t="n">
        <f aca="false">IFERROR(N108/$C$3,0)</f>
        <v>0</v>
      </c>
      <c r="R108" s="69" t="n">
        <f aca="false">IFERROR(O108/$D$4,0)</f>
        <v>-0.0010254154818816</v>
      </c>
      <c r="S108" s="78" t="n">
        <f aca="false">IFERROR((Q108+R108)/2,0)</f>
        <v>-0.000512707740940799</v>
      </c>
      <c r="T108" s="79"/>
      <c r="U108" s="70" t="str">
        <f aca="false">IFERROR(POWER(K108/C108,1/8)-1,"n/a")</f>
        <v>n/a</v>
      </c>
      <c r="V108" s="70" t="str">
        <f aca="false">IFERROR(POWER(K108/H108,1/3)-1,"n/a")</f>
        <v>n/a</v>
      </c>
      <c r="W108" s="90" t="str">
        <f aca="false">IFERROR(V108-U108,"n/a")</f>
        <v>n/a</v>
      </c>
      <c r="X108" s="88" t="str">
        <f aca="false">IFERROR(SLOPE(C108:K108,{1,2,3,4,5,6,7,8,9})/AVERAGEIF(C108:K108,"&gt;0"),"n/a")</f>
        <v>n/a</v>
      </c>
      <c r="Y108" s="88" t="str">
        <f aca="false">IFERROR(SLOPE(H108:K108,{1,2,3,4})/AVERAGEIF(H108:K108,"&gt;0"),"n/a")</f>
        <v>n/a</v>
      </c>
      <c r="Z108" s="45" t="str">
        <f aca="false">IFERROR(H108/G108,"n/a")</f>
        <v>n/a</v>
      </c>
      <c r="AA108" s="45" t="str">
        <f aca="false">IFERROR(H108/F108,"n/a")</f>
        <v>n/a</v>
      </c>
      <c r="AB108" s="89" t="s">
        <v>147</v>
      </c>
      <c r="AC108" s="47" t="s">
        <v>172</v>
      </c>
      <c r="AD108" s="65" t="n">
        <v>0.15</v>
      </c>
      <c r="AE108" s="66" t="s">
        <v>173</v>
      </c>
    </row>
    <row r="109" customFormat="false" ht="16.5" hidden="false" customHeight="true" outlineLevel="0" collapsed="false">
      <c r="A109" s="94" t="s">
        <v>285</v>
      </c>
      <c r="B109" s="95" t="s">
        <v>286</v>
      </c>
      <c r="C109" s="50" t="s">
        <v>84</v>
      </c>
      <c r="D109" s="50" t="s">
        <v>84</v>
      </c>
      <c r="E109" s="50" t="s">
        <v>84</v>
      </c>
      <c r="F109" s="50" t="s">
        <v>84</v>
      </c>
      <c r="G109" s="50" t="s">
        <v>84</v>
      </c>
      <c r="H109" s="50" t="s">
        <v>84</v>
      </c>
      <c r="I109" s="50" t="s">
        <v>84</v>
      </c>
      <c r="J109" s="50" t="s">
        <v>84</v>
      </c>
      <c r="K109" s="50" t="s">
        <v>84</v>
      </c>
      <c r="L109" s="50" t="s">
        <v>84</v>
      </c>
      <c r="M109" s="33" t="n">
        <f aca="false">IFERROR(AVERAGEIF(C109:G109,"&gt;0"),0)</f>
        <v>0</v>
      </c>
      <c r="N109" s="34" t="n">
        <f aca="false">IFERROR(AVERAGEIF(H109:K109,"&gt;0"),0)</f>
        <v>0</v>
      </c>
      <c r="O109" s="87" t="n">
        <f aca="false">N109-M109</f>
        <v>0</v>
      </c>
      <c r="P109" s="77" t="str">
        <f aca="false">IFERROR(N109/M109,"n/a")</f>
        <v>n/a</v>
      </c>
      <c r="Q109" s="69" t="n">
        <f aca="false">IFERROR(N109/$C$3,0)</f>
        <v>0</v>
      </c>
      <c r="R109" s="69" t="n">
        <f aca="false">IFERROR(O109/$D$4,0)</f>
        <v>0</v>
      </c>
      <c r="S109" s="78" t="n">
        <f aca="false">IFERROR((Q109+R109)/2,0)</f>
        <v>0</v>
      </c>
      <c r="T109" s="79"/>
      <c r="U109" s="70" t="str">
        <f aca="false">IFERROR(POWER(K109/C109,1/8)-1,"n/a")</f>
        <v>n/a</v>
      </c>
      <c r="V109" s="70" t="str">
        <f aca="false">IFERROR(POWER(K109/H109,1/3)-1,"n/a")</f>
        <v>n/a</v>
      </c>
      <c r="W109" s="90" t="str">
        <f aca="false">IFERROR(V109-U109,"n/a")</f>
        <v>n/a</v>
      </c>
      <c r="X109" s="88" t="str">
        <f aca="false">IFERROR(SLOPE(C109:K109,{1,2,3,4,5,6,7,8,9})/AVERAGEIF(C109:K109,"&gt;0"),"n/a")</f>
        <v>n/a</v>
      </c>
      <c r="Y109" s="88" t="str">
        <f aca="false">IFERROR(SLOPE(H109:K109,{1,2,3,4})/AVERAGEIF(H109:K109,"&gt;0"),"n/a")</f>
        <v>n/a</v>
      </c>
      <c r="Z109" s="45" t="str">
        <f aca="false">IFERROR(H109/G109,"n/a")</f>
        <v>n/a</v>
      </c>
      <c r="AA109" s="45" t="str">
        <f aca="false">IFERROR(H109/F109,"n/a")</f>
        <v>n/a</v>
      </c>
      <c r="AB109" s="89" t="s">
        <v>147</v>
      </c>
      <c r="AC109" s="47" t="s">
        <v>164</v>
      </c>
      <c r="AD109" s="48" t="n">
        <v>0.1</v>
      </c>
      <c r="AE109" s="66" t="s">
        <v>165</v>
      </c>
    </row>
    <row r="110" customFormat="false" ht="16.5" hidden="false" customHeight="true" outlineLevel="0" collapsed="false">
      <c r="A110" s="94" t="s">
        <v>287</v>
      </c>
      <c r="B110" s="95" t="s">
        <v>288</v>
      </c>
      <c r="C110" s="50" t="s">
        <v>84</v>
      </c>
      <c r="D110" s="50" t="s">
        <v>84</v>
      </c>
      <c r="E110" s="50" t="s">
        <v>84</v>
      </c>
      <c r="F110" s="50" t="s">
        <v>84</v>
      </c>
      <c r="G110" s="50" t="s">
        <v>84</v>
      </c>
      <c r="H110" s="50" t="s">
        <v>84</v>
      </c>
      <c r="I110" s="50" t="s">
        <v>84</v>
      </c>
      <c r="J110" s="50" t="s">
        <v>84</v>
      </c>
      <c r="K110" s="50" t="s">
        <v>84</v>
      </c>
      <c r="L110" s="50" t="s">
        <v>84</v>
      </c>
      <c r="M110" s="33" t="n">
        <f aca="false">IFERROR(AVERAGEIF(C110:G110,"&gt;0"),0)</f>
        <v>0</v>
      </c>
      <c r="N110" s="34" t="n">
        <f aca="false">IFERROR(AVERAGEIF(H110:K110,"&gt;0"),0)</f>
        <v>0</v>
      </c>
      <c r="O110" s="87" t="n">
        <f aca="false">N110-M110</f>
        <v>0</v>
      </c>
      <c r="P110" s="77" t="str">
        <f aca="false">IFERROR(N110/M110,"n/a")</f>
        <v>n/a</v>
      </c>
      <c r="Q110" s="69" t="n">
        <f aca="false">IFERROR(N110/$C$3,0)</f>
        <v>0</v>
      </c>
      <c r="R110" s="69" t="n">
        <f aca="false">IFERROR(O110/$D$4,0)</f>
        <v>0</v>
      </c>
      <c r="S110" s="78" t="n">
        <f aca="false">IFERROR((Q110+R110)/2,0)</f>
        <v>0</v>
      </c>
      <c r="T110" s="79"/>
      <c r="U110" s="70" t="str">
        <f aca="false">IFERROR(POWER(K110/C110,1/8)-1,"n/a")</f>
        <v>n/a</v>
      </c>
      <c r="V110" s="70" t="str">
        <f aca="false">IFERROR(POWER(K110/H110,1/3)-1,"n/a")</f>
        <v>n/a</v>
      </c>
      <c r="W110" s="90" t="str">
        <f aca="false">IFERROR(V110-U110,"n/a")</f>
        <v>n/a</v>
      </c>
      <c r="X110" s="88" t="str">
        <f aca="false">IFERROR(SLOPE(C110:K110,{1,2,3,4,5,6,7,8,9})/AVERAGEIF(C110:K110,"&gt;0"),"n/a")</f>
        <v>n/a</v>
      </c>
      <c r="Y110" s="88" t="str">
        <f aca="false">IFERROR(SLOPE(H110:K110,{1,2,3,4})/AVERAGEIF(H110:K110,"&gt;0"),"n/a")</f>
        <v>n/a</v>
      </c>
      <c r="Z110" s="45" t="str">
        <f aca="false">IFERROR(H110/G110,"n/a")</f>
        <v>n/a</v>
      </c>
      <c r="AA110" s="45" t="str">
        <f aca="false">IFERROR(H110/F110,"n/a")</f>
        <v>n/a</v>
      </c>
      <c r="AB110" s="89" t="s">
        <v>147</v>
      </c>
      <c r="AC110" s="47" t="s">
        <v>224</v>
      </c>
      <c r="AD110" s="65" t="n">
        <v>0.5</v>
      </c>
      <c r="AE110" s="66" t="s">
        <v>225</v>
      </c>
    </row>
    <row r="111" customFormat="false" ht="16.5" hidden="false" customHeight="true" outlineLevel="0" collapsed="false">
      <c r="A111" s="94" t="s">
        <v>289</v>
      </c>
      <c r="B111" s="95" t="s">
        <v>290</v>
      </c>
      <c r="C111" s="50" t="s">
        <v>84</v>
      </c>
      <c r="D111" s="50" t="s">
        <v>84</v>
      </c>
      <c r="E111" s="50" t="s">
        <v>84</v>
      </c>
      <c r="F111" s="50" t="s">
        <v>84</v>
      </c>
      <c r="G111" s="50" t="s">
        <v>84</v>
      </c>
      <c r="H111" s="50" t="s">
        <v>84</v>
      </c>
      <c r="I111" s="50" t="s">
        <v>84</v>
      </c>
      <c r="J111" s="50" t="s">
        <v>84</v>
      </c>
      <c r="K111" s="50" t="s">
        <v>84</v>
      </c>
      <c r="L111" s="50" t="s">
        <v>84</v>
      </c>
      <c r="M111" s="33" t="n">
        <f aca="false">IFERROR(AVERAGEIF(C111:G111,"&gt;0"),0)</f>
        <v>0</v>
      </c>
      <c r="N111" s="34" t="n">
        <f aca="false">IFERROR(AVERAGEIF(H111:K111,"&gt;0"),0)</f>
        <v>0</v>
      </c>
      <c r="O111" s="87" t="n">
        <f aca="false">N111-M111</f>
        <v>0</v>
      </c>
      <c r="P111" s="77" t="str">
        <f aca="false">IFERROR(N111/M111,"n/a")</f>
        <v>n/a</v>
      </c>
      <c r="Q111" s="69" t="n">
        <f aca="false">IFERROR(N111/$C$3,0)</f>
        <v>0</v>
      </c>
      <c r="R111" s="69" t="n">
        <f aca="false">IFERROR(O111/$D$4,0)</f>
        <v>0</v>
      </c>
      <c r="S111" s="78" t="n">
        <f aca="false">IFERROR((Q111+R111)/2,0)</f>
        <v>0</v>
      </c>
      <c r="T111" s="79"/>
      <c r="U111" s="70" t="str">
        <f aca="false">IFERROR(POWER(K111/C111,1/8)-1,"n/a")</f>
        <v>n/a</v>
      </c>
      <c r="V111" s="70" t="str">
        <f aca="false">IFERROR(POWER(K111/H111,1/3)-1,"n/a")</f>
        <v>n/a</v>
      </c>
      <c r="W111" s="90" t="str">
        <f aca="false">IFERROR(V111-U111,"n/a")</f>
        <v>n/a</v>
      </c>
      <c r="X111" s="88" t="str">
        <f aca="false">IFERROR(SLOPE(C111:K111,{1,2,3,4,5,6,7,8,9})/AVERAGEIF(C111:K111,"&gt;0"),"n/a")</f>
        <v>n/a</v>
      </c>
      <c r="Y111" s="88" t="str">
        <f aca="false">IFERROR(SLOPE(H111:K111,{1,2,3,4})/AVERAGEIF(H111:K111,"&gt;0"),"n/a")</f>
        <v>n/a</v>
      </c>
      <c r="Z111" s="45" t="str">
        <f aca="false">IFERROR(H111/G111,"n/a")</f>
        <v>n/a</v>
      </c>
      <c r="AA111" s="45" t="str">
        <f aca="false">IFERROR(H111/F111,"n/a")</f>
        <v>n/a</v>
      </c>
      <c r="AB111" s="89" t="s">
        <v>147</v>
      </c>
      <c r="AC111" s="47" t="s">
        <v>80</v>
      </c>
      <c r="AD111" s="48" t="n">
        <v>0.025</v>
      </c>
      <c r="AE111" s="49" t="s">
        <v>81</v>
      </c>
    </row>
    <row r="112" customFormat="false" ht="16.5" hidden="false" customHeight="true" outlineLevel="0" collapsed="false">
      <c r="A112" s="94" t="s">
        <v>291</v>
      </c>
      <c r="B112" s="95" t="s">
        <v>292</v>
      </c>
      <c r="C112" s="50" t="s">
        <v>84</v>
      </c>
      <c r="D112" s="50" t="s">
        <v>84</v>
      </c>
      <c r="E112" s="50" t="s">
        <v>84</v>
      </c>
      <c r="F112" s="50" t="s">
        <v>84</v>
      </c>
      <c r="G112" s="50" t="s">
        <v>84</v>
      </c>
      <c r="H112" s="50" t="s">
        <v>84</v>
      </c>
      <c r="I112" s="50" t="s">
        <v>84</v>
      </c>
      <c r="J112" s="50" t="s">
        <v>84</v>
      </c>
      <c r="K112" s="50" t="s">
        <v>84</v>
      </c>
      <c r="L112" s="50" t="s">
        <v>84</v>
      </c>
      <c r="M112" s="33" t="n">
        <f aca="false">IFERROR(AVERAGEIF(C112:G112,"&gt;0"),0)</f>
        <v>0</v>
      </c>
      <c r="N112" s="34" t="n">
        <f aca="false">IFERROR(AVERAGEIF(H112:K112,"&gt;0"),0)</f>
        <v>0</v>
      </c>
      <c r="O112" s="87" t="n">
        <f aca="false">N112-M112</f>
        <v>0</v>
      </c>
      <c r="P112" s="77" t="str">
        <f aca="false">IFERROR(N112/M112,"n/a")</f>
        <v>n/a</v>
      </c>
      <c r="Q112" s="69" t="n">
        <f aca="false">IFERROR(N112/$C$3,0)</f>
        <v>0</v>
      </c>
      <c r="R112" s="69" t="n">
        <f aca="false">IFERROR(O112/$D$4,0)</f>
        <v>0</v>
      </c>
      <c r="S112" s="78" t="n">
        <f aca="false">IFERROR((Q112+R112)/2,0)</f>
        <v>0</v>
      </c>
      <c r="T112" s="79"/>
      <c r="U112" s="70" t="str">
        <f aca="false">IFERROR(POWER(K112/C112,1/8)-1,"n/a")</f>
        <v>n/a</v>
      </c>
      <c r="V112" s="70" t="str">
        <f aca="false">IFERROR(POWER(K112/H112,1/3)-1,"n/a")</f>
        <v>n/a</v>
      </c>
      <c r="W112" s="90" t="str">
        <f aca="false">IFERROR(V112-U112,"n/a")</f>
        <v>n/a</v>
      </c>
      <c r="X112" s="88" t="str">
        <f aca="false">IFERROR(SLOPE(C112:K112,{1,2,3,4,5,6,7,8,9})/AVERAGEIF(C112:K112,"&gt;0"),"n/a")</f>
        <v>n/a</v>
      </c>
      <c r="Y112" s="88" t="str">
        <f aca="false">IFERROR(SLOPE(H112:K112,{1,2,3,4})/AVERAGEIF(H112:K112,"&gt;0"),"n/a")</f>
        <v>n/a</v>
      </c>
      <c r="Z112" s="45" t="str">
        <f aca="false">IFERROR(H112/G112,"n/a")</f>
        <v>n/a</v>
      </c>
      <c r="AA112" s="45" t="str">
        <f aca="false">IFERROR(H112/F112,"n/a")</f>
        <v>n/a</v>
      </c>
      <c r="AB112" s="89" t="s">
        <v>147</v>
      </c>
      <c r="AC112" s="47" t="s">
        <v>80</v>
      </c>
      <c r="AD112" s="48" t="n">
        <v>0.025</v>
      </c>
      <c r="AE112" s="49" t="s">
        <v>81</v>
      </c>
    </row>
    <row r="113" customFormat="false" ht="16.5" hidden="false" customHeight="true" outlineLevel="0" collapsed="false">
      <c r="A113" s="94" t="s">
        <v>293</v>
      </c>
      <c r="B113" s="95" t="s">
        <v>294</v>
      </c>
      <c r="C113" s="50" t="s">
        <v>84</v>
      </c>
      <c r="D113" s="50" t="s">
        <v>84</v>
      </c>
      <c r="E113" s="50" t="s">
        <v>84</v>
      </c>
      <c r="F113" s="50" t="s">
        <v>84</v>
      </c>
      <c r="G113" s="50" t="s">
        <v>84</v>
      </c>
      <c r="H113" s="50" t="s">
        <v>84</v>
      </c>
      <c r="I113" s="50" t="s">
        <v>84</v>
      </c>
      <c r="J113" s="50" t="s">
        <v>84</v>
      </c>
      <c r="K113" s="50" t="s">
        <v>84</v>
      </c>
      <c r="L113" s="50" t="s">
        <v>84</v>
      </c>
      <c r="M113" s="33" t="n">
        <f aca="false">IFERROR(AVERAGEIF(C113:G113,"&gt;0"),0)</f>
        <v>0</v>
      </c>
      <c r="N113" s="34" t="n">
        <f aca="false">IFERROR(AVERAGEIF(H113:K113,"&gt;0"),0)</f>
        <v>0</v>
      </c>
      <c r="O113" s="87" t="n">
        <f aca="false">N113-M113</f>
        <v>0</v>
      </c>
      <c r="P113" s="77" t="str">
        <f aca="false">IFERROR(N113/M113,"n/a")</f>
        <v>n/a</v>
      </c>
      <c r="Q113" s="69" t="n">
        <f aca="false">IFERROR(N113/$C$3,0)</f>
        <v>0</v>
      </c>
      <c r="R113" s="69" t="n">
        <f aca="false">IFERROR(O113/$D$4,0)</f>
        <v>0</v>
      </c>
      <c r="S113" s="78" t="n">
        <f aca="false">IFERROR((Q113+R113)/2,0)</f>
        <v>0</v>
      </c>
      <c r="T113" s="79"/>
      <c r="U113" s="70" t="str">
        <f aca="false">IFERROR(POWER(K113/C113,1/8)-1,"n/a")</f>
        <v>n/a</v>
      </c>
      <c r="V113" s="70" t="str">
        <f aca="false">IFERROR(POWER(K113/H113,1/3)-1,"n/a")</f>
        <v>n/a</v>
      </c>
      <c r="W113" s="90" t="str">
        <f aca="false">IFERROR(V113-U113,"n/a")</f>
        <v>n/a</v>
      </c>
      <c r="X113" s="88" t="str">
        <f aca="false">IFERROR(SLOPE(C113:K113,{1,2,3,4,5,6,7,8,9})/AVERAGEIF(C113:K113,"&gt;0"),"n/a")</f>
        <v>n/a</v>
      </c>
      <c r="Y113" s="88" t="str">
        <f aca="false">IFERROR(SLOPE(H113:K113,{1,2,3,4})/AVERAGEIF(H113:K113,"&gt;0"),"n/a")</f>
        <v>n/a</v>
      </c>
      <c r="Z113" s="45" t="str">
        <f aca="false">IFERROR(H113/G113,"n/a")</f>
        <v>n/a</v>
      </c>
      <c r="AA113" s="45" t="str">
        <f aca="false">IFERROR(H113/F113,"n/a")</f>
        <v>n/a</v>
      </c>
      <c r="AB113" s="89" t="s">
        <v>147</v>
      </c>
      <c r="AC113" s="47" t="s">
        <v>80</v>
      </c>
      <c r="AD113" s="48" t="n">
        <v>0.025</v>
      </c>
      <c r="AE113" s="49" t="s">
        <v>81</v>
      </c>
    </row>
    <row r="114" customFormat="false" ht="16.5" hidden="false" customHeight="true" outlineLevel="0" collapsed="false">
      <c r="A114" s="94" t="s">
        <v>295</v>
      </c>
      <c r="B114" s="95" t="s">
        <v>296</v>
      </c>
      <c r="C114" s="50" t="s">
        <v>84</v>
      </c>
      <c r="D114" s="50" t="s">
        <v>84</v>
      </c>
      <c r="E114" s="30" t="n">
        <v>1520</v>
      </c>
      <c r="F114" s="50" t="s">
        <v>84</v>
      </c>
      <c r="G114" s="30" t="n">
        <v>102170</v>
      </c>
      <c r="H114" s="50" t="s">
        <v>84</v>
      </c>
      <c r="I114" s="50" t="s">
        <v>84</v>
      </c>
      <c r="J114" s="50" t="s">
        <v>84</v>
      </c>
      <c r="K114" s="50" t="s">
        <v>84</v>
      </c>
      <c r="L114" s="50" t="s">
        <v>84</v>
      </c>
      <c r="M114" s="33" t="n">
        <f aca="false">IFERROR(AVERAGEIF(C114:G114,"&gt;0"),0)</f>
        <v>51845</v>
      </c>
      <c r="N114" s="34" t="n">
        <f aca="false">IFERROR(AVERAGEIF(H114:K114,"&gt;0"),0)</f>
        <v>0</v>
      </c>
      <c r="O114" s="76" t="n">
        <f aca="false">N114-M114</f>
        <v>-51845</v>
      </c>
      <c r="P114" s="77" t="n">
        <f aca="false">IFERROR(N114/M114,"n/a")</f>
        <v>0</v>
      </c>
      <c r="Q114" s="69" t="n">
        <f aca="false">IFERROR(N114/$C$3,0)</f>
        <v>0</v>
      </c>
      <c r="R114" s="69" t="n">
        <f aca="false">IFERROR(O114/$D$4,0)</f>
        <v>-0.00117908680043806</v>
      </c>
      <c r="S114" s="78" t="n">
        <f aca="false">IFERROR((Q114+R114)/2,0)</f>
        <v>-0.000589543400219032</v>
      </c>
      <c r="T114" s="79"/>
      <c r="U114" s="41" t="str">
        <f aca="false">IFERROR(POWER(K114/C114,1/8)-1,"n/a")</f>
        <v>n/a</v>
      </c>
      <c r="V114" s="70" t="str">
        <f aca="false">IFERROR(POWER(K114/H114,1/3)-1,"n/a")</f>
        <v>n/a</v>
      </c>
      <c r="W114" s="90" t="str">
        <f aca="false">IFERROR(V114-U114,"n/a")</f>
        <v>n/a</v>
      </c>
      <c r="X114" s="88" t="n">
        <f aca="false">IFERROR(SLOPE(C114:K114,{1,2,3,4,5,6,7,8,9})/AVERAGEIF(C114:K114,"&gt;0"),"n/a")</f>
        <v>0.970681840100299</v>
      </c>
      <c r="Y114" s="88" t="str">
        <f aca="false">IFERROR(SLOPE(H114:K114,{1,2,3,4})/AVERAGEIF(H114:K114,"&gt;0"),"n/a")</f>
        <v>n/a</v>
      </c>
      <c r="Z114" s="45" t="str">
        <f aca="false">IFERROR(H114/G114,"n/a")</f>
        <v>n/a</v>
      </c>
      <c r="AA114" s="45" t="str">
        <f aca="false">IFERROR(H114/F114,"n/a")</f>
        <v>n/a</v>
      </c>
      <c r="AB114" s="89" t="s">
        <v>147</v>
      </c>
      <c r="AC114" s="47" t="s">
        <v>164</v>
      </c>
      <c r="AD114" s="48" t="n">
        <v>0.1</v>
      </c>
      <c r="AE114" s="66" t="s">
        <v>165</v>
      </c>
    </row>
    <row r="115" customFormat="false" ht="16.5" hidden="false" customHeight="true" outlineLevel="0" collapsed="false">
      <c r="A115" s="94" t="s">
        <v>297</v>
      </c>
      <c r="B115" s="95" t="s">
        <v>298</v>
      </c>
      <c r="C115" s="50" t="s">
        <v>84</v>
      </c>
      <c r="D115" s="50" t="s">
        <v>84</v>
      </c>
      <c r="E115" s="50" t="s">
        <v>84</v>
      </c>
      <c r="F115" s="50" t="s">
        <v>84</v>
      </c>
      <c r="G115" s="50" t="s">
        <v>84</v>
      </c>
      <c r="H115" s="50" t="s">
        <v>84</v>
      </c>
      <c r="I115" s="50" t="s">
        <v>84</v>
      </c>
      <c r="J115" s="50" t="s">
        <v>84</v>
      </c>
      <c r="K115" s="50" t="s">
        <v>84</v>
      </c>
      <c r="L115" s="50" t="s">
        <v>84</v>
      </c>
      <c r="M115" s="33" t="n">
        <f aca="false">IFERROR(AVERAGEIF(C115:G115,"&gt;0"),0)</f>
        <v>0</v>
      </c>
      <c r="N115" s="34" t="n">
        <f aca="false">IFERROR(AVERAGEIF(H115:K115,"&gt;0"),0)</f>
        <v>0</v>
      </c>
      <c r="O115" s="87" t="n">
        <f aca="false">N115-M115</f>
        <v>0</v>
      </c>
      <c r="P115" s="77" t="str">
        <f aca="false">IFERROR(N115/M115,"n/a")</f>
        <v>n/a</v>
      </c>
      <c r="Q115" s="69" t="n">
        <f aca="false">IFERROR(N115/$C$3,0)</f>
        <v>0</v>
      </c>
      <c r="R115" s="69" t="n">
        <f aca="false">IFERROR(O115/$D$4,0)</f>
        <v>0</v>
      </c>
      <c r="S115" s="78" t="n">
        <f aca="false">IFERROR((Q115+R115)/2,0)</f>
        <v>0</v>
      </c>
      <c r="T115" s="79"/>
      <c r="U115" s="70" t="str">
        <f aca="false">IFERROR(POWER(K115/C115,1/8)-1,"n/a")</f>
        <v>n/a</v>
      </c>
      <c r="V115" s="70" t="str">
        <f aca="false">IFERROR(POWER(K115/H115,1/3)-1,"n/a")</f>
        <v>n/a</v>
      </c>
      <c r="W115" s="90" t="str">
        <f aca="false">IFERROR(V115-U115,"n/a")</f>
        <v>n/a</v>
      </c>
      <c r="X115" s="88" t="str">
        <f aca="false">IFERROR(SLOPE(C115:K115,{1,2,3,4,5,6,7,8,9})/AVERAGEIF(C115:K115,"&gt;0"),"n/a")</f>
        <v>n/a</v>
      </c>
      <c r="Y115" s="88" t="str">
        <f aca="false">IFERROR(SLOPE(H115:K115,{1,2,3,4})/AVERAGEIF(H115:K115,"&gt;0"),"n/a")</f>
        <v>n/a</v>
      </c>
      <c r="Z115" s="45" t="str">
        <f aca="false">IFERROR(H115/G115,"n/a")</f>
        <v>n/a</v>
      </c>
      <c r="AA115" s="45" t="str">
        <f aca="false">IFERROR(H115/F115,"n/a")</f>
        <v>n/a</v>
      </c>
      <c r="AB115" s="89" t="s">
        <v>147</v>
      </c>
      <c r="AC115" s="47" t="s">
        <v>80</v>
      </c>
      <c r="AD115" s="48" t="n">
        <v>0.025</v>
      </c>
      <c r="AE115" s="49" t="s">
        <v>81</v>
      </c>
    </row>
    <row r="116" customFormat="false" ht="16.5" hidden="false" customHeight="true" outlineLevel="0" collapsed="false">
      <c r="A116" s="94" t="s">
        <v>299</v>
      </c>
      <c r="B116" s="95" t="s">
        <v>300</v>
      </c>
      <c r="C116" s="50" t="s">
        <v>84</v>
      </c>
      <c r="D116" s="50" t="s">
        <v>84</v>
      </c>
      <c r="E116" s="50" t="s">
        <v>84</v>
      </c>
      <c r="F116" s="50" t="s">
        <v>84</v>
      </c>
      <c r="G116" s="50" t="s">
        <v>84</v>
      </c>
      <c r="H116" s="50" t="s">
        <v>84</v>
      </c>
      <c r="I116" s="50" t="s">
        <v>84</v>
      </c>
      <c r="J116" s="50" t="s">
        <v>84</v>
      </c>
      <c r="K116" s="50" t="s">
        <v>84</v>
      </c>
      <c r="L116" s="50" t="s">
        <v>84</v>
      </c>
      <c r="M116" s="33" t="n">
        <f aca="false">IFERROR(AVERAGEIF(C116:G116,"&gt;0"),0)</f>
        <v>0</v>
      </c>
      <c r="N116" s="34" t="n">
        <f aca="false">IFERROR(AVERAGEIF(H116:K116,"&gt;0"),0)</f>
        <v>0</v>
      </c>
      <c r="O116" s="87" t="n">
        <f aca="false">N116-M116</f>
        <v>0</v>
      </c>
      <c r="P116" s="77" t="str">
        <f aca="false">IFERROR(N116/M116,"n/a")</f>
        <v>n/a</v>
      </c>
      <c r="Q116" s="69" t="n">
        <f aca="false">IFERROR(N116/$C$3,0)</f>
        <v>0</v>
      </c>
      <c r="R116" s="69" t="n">
        <f aca="false">IFERROR(O116/$D$4,0)</f>
        <v>0</v>
      </c>
      <c r="S116" s="78" t="n">
        <f aca="false">IFERROR((Q116+R116)/2,0)</f>
        <v>0</v>
      </c>
      <c r="T116" s="79"/>
      <c r="U116" s="70" t="str">
        <f aca="false">IFERROR(POWER(K116/C116,1/8)-1,"n/a")</f>
        <v>n/a</v>
      </c>
      <c r="V116" s="70" t="str">
        <f aca="false">IFERROR(POWER(K116/H116,1/3)-1,"n/a")</f>
        <v>n/a</v>
      </c>
      <c r="W116" s="90" t="str">
        <f aca="false">IFERROR(V116-U116,"n/a")</f>
        <v>n/a</v>
      </c>
      <c r="X116" s="88" t="str">
        <f aca="false">IFERROR(SLOPE(C116:K116,{1,2,3,4,5,6,7,8,9})/AVERAGEIF(C116:K116,"&gt;0"),"n/a")</f>
        <v>n/a</v>
      </c>
      <c r="Y116" s="88" t="str">
        <f aca="false">IFERROR(SLOPE(H116:K116,{1,2,3,4})/AVERAGEIF(H116:K116,"&gt;0"),"n/a")</f>
        <v>n/a</v>
      </c>
      <c r="Z116" s="45" t="str">
        <f aca="false">IFERROR(H116/G116,"n/a")</f>
        <v>n/a</v>
      </c>
      <c r="AA116" s="45" t="str">
        <f aca="false">IFERROR(H116/F116,"n/a")</f>
        <v>n/a</v>
      </c>
      <c r="AB116" s="89" t="s">
        <v>147</v>
      </c>
      <c r="AC116" s="47" t="s">
        <v>121</v>
      </c>
      <c r="AD116" s="48" t="n">
        <v>0.05</v>
      </c>
      <c r="AE116" s="49" t="s">
        <v>122</v>
      </c>
    </row>
    <row r="117" customFormat="false" ht="16.5" hidden="false" customHeight="true" outlineLevel="0" collapsed="false">
      <c r="A117" s="94" t="s">
        <v>301</v>
      </c>
      <c r="B117" s="95" t="s">
        <v>302</v>
      </c>
      <c r="C117" s="50" t="s">
        <v>84</v>
      </c>
      <c r="D117" s="50" t="s">
        <v>84</v>
      </c>
      <c r="E117" s="50" t="s">
        <v>84</v>
      </c>
      <c r="F117" s="50" t="s">
        <v>84</v>
      </c>
      <c r="G117" s="30" t="n">
        <v>2879</v>
      </c>
      <c r="H117" s="50" t="s">
        <v>84</v>
      </c>
      <c r="I117" s="50" t="s">
        <v>84</v>
      </c>
      <c r="J117" s="50" t="s">
        <v>84</v>
      </c>
      <c r="K117" s="50" t="s">
        <v>84</v>
      </c>
      <c r="L117" s="32" t="n">
        <v>1169</v>
      </c>
      <c r="M117" s="33" t="n">
        <f aca="false">IFERROR(AVERAGEIF(C117:G117,"&gt;0"),0)</f>
        <v>2879</v>
      </c>
      <c r="N117" s="34" t="n">
        <f aca="false">IFERROR(AVERAGEIF(H117:K117,"&gt;0"),0)</f>
        <v>0</v>
      </c>
      <c r="O117" s="76" t="n">
        <f aca="false">N117-M117</f>
        <v>-2879</v>
      </c>
      <c r="P117" s="77" t="n">
        <f aca="false">IFERROR(N117/M117,"n/a")</f>
        <v>0</v>
      </c>
      <c r="Q117" s="69" t="n">
        <f aca="false">IFERROR(N117/$C$3,0)</f>
        <v>0</v>
      </c>
      <c r="R117" s="69" t="n">
        <f aca="false">IFERROR(O117/$D$4,0)</f>
        <v>-6.54757623389176E-005</v>
      </c>
      <c r="S117" s="78" t="n">
        <f aca="false">IFERROR((Q117+R117)/2,0)</f>
        <v>-3.27378811694588E-005</v>
      </c>
      <c r="T117" s="79"/>
      <c r="U117" s="70" t="str">
        <f aca="false">IFERROR(POWER(K117/C117,1/8)-1,"n/a")</f>
        <v>n/a</v>
      </c>
      <c r="V117" s="70" t="str">
        <f aca="false">IFERROR(POWER(K117/H117,1/3)-1,"n/a")</f>
        <v>n/a</v>
      </c>
      <c r="W117" s="90" t="str">
        <f aca="false">IFERROR(V117-U117,"n/a")</f>
        <v>n/a</v>
      </c>
      <c r="X117" s="88" t="str">
        <f aca="false">IFERROR(SLOPE(C117:K117,{1,2,3,4,5,6,7,8,9})/AVERAGEIF(C117:K117,"&gt;0"),"n/a")</f>
        <v>n/a</v>
      </c>
      <c r="Y117" s="88" t="str">
        <f aca="false">IFERROR(SLOPE(H117:K117,{1,2,3,4})/AVERAGEIF(H117:K117,"&gt;0"),"n/a")</f>
        <v>n/a</v>
      </c>
      <c r="Z117" s="45" t="str">
        <f aca="false">IFERROR(H117/G117,"n/a")</f>
        <v>n/a</v>
      </c>
      <c r="AA117" s="45" t="str">
        <f aca="false">IFERROR(H117/F117,"n/a")</f>
        <v>n/a</v>
      </c>
      <c r="AB117" s="89" t="s">
        <v>147</v>
      </c>
      <c r="AC117" s="47" t="s">
        <v>121</v>
      </c>
      <c r="AD117" s="48" t="n">
        <v>0.05</v>
      </c>
      <c r="AE117" s="49" t="s">
        <v>122</v>
      </c>
    </row>
    <row r="118" customFormat="false" ht="16.5" hidden="false" customHeight="true" outlineLevel="0" collapsed="false">
      <c r="A118" s="94" t="s">
        <v>303</v>
      </c>
      <c r="B118" s="95" t="s">
        <v>304</v>
      </c>
      <c r="C118" s="30" t="n">
        <v>23692</v>
      </c>
      <c r="D118" s="30" t="n">
        <v>3</v>
      </c>
      <c r="E118" s="30" t="n">
        <v>2129</v>
      </c>
      <c r="F118" s="50" t="s">
        <v>84</v>
      </c>
      <c r="G118" s="50" t="s">
        <v>84</v>
      </c>
      <c r="H118" s="50" t="s">
        <v>84</v>
      </c>
      <c r="I118" s="50" t="s">
        <v>84</v>
      </c>
      <c r="J118" s="50" t="s">
        <v>84</v>
      </c>
      <c r="K118" s="50" t="s">
        <v>84</v>
      </c>
      <c r="L118" s="50" t="s">
        <v>84</v>
      </c>
      <c r="M118" s="33" t="n">
        <f aca="false">IFERROR(AVERAGEIF(C118:G118,"&gt;0"),0)</f>
        <v>8608</v>
      </c>
      <c r="N118" s="34" t="n">
        <f aca="false">IFERROR(AVERAGEIF(H118:K118,"&gt;0"),0)</f>
        <v>0</v>
      </c>
      <c r="O118" s="76" t="n">
        <f aca="false">N118-M118</f>
        <v>-8608</v>
      </c>
      <c r="P118" s="77" t="n">
        <f aca="false">IFERROR(N118/M118,"n/a")</f>
        <v>0</v>
      </c>
      <c r="Q118" s="69" t="n">
        <f aca="false">IFERROR(N118/$C$3,0)</f>
        <v>0</v>
      </c>
      <c r="R118" s="69" t="n">
        <f aca="false">IFERROR(O118/$D$4,0)</f>
        <v>-0.000195767753460717</v>
      </c>
      <c r="S118" s="78" t="n">
        <f aca="false">IFERROR((Q118+R118)/2,0)</f>
        <v>-9.78838767303583E-005</v>
      </c>
      <c r="T118" s="79"/>
      <c r="U118" s="58" t="str">
        <f aca="false">IFERROR(POWER(K118/C118,1/8)-1,"n/a")</f>
        <v>n/a</v>
      </c>
      <c r="V118" s="70" t="str">
        <f aca="false">IFERROR(POWER(K118/H118,1/3)-1,"n/a")</f>
        <v>n/a</v>
      </c>
      <c r="W118" s="90" t="str">
        <f aca="false">IFERROR(V118-U118,"n/a")</f>
        <v>n/a</v>
      </c>
      <c r="X118" s="59" t="n">
        <f aca="false">IFERROR(SLOPE(C118:K118,{1,2,3,4,5,6,7,8,9})/AVERAGEIF(C118:K118,"&gt;0"),"n/a")</f>
        <v>-1.25249767657993</v>
      </c>
      <c r="Y118" s="88" t="str">
        <f aca="false">IFERROR(SLOPE(H118:K118,{1,2,3,4})/AVERAGEIF(H118:K118,"&gt;0"),"n/a")</f>
        <v>n/a</v>
      </c>
      <c r="Z118" s="45" t="str">
        <f aca="false">IFERROR(H118/G118,"n/a")</f>
        <v>n/a</v>
      </c>
      <c r="AA118" s="45" t="str">
        <f aca="false">IFERROR(H118/F118,"n/a")</f>
        <v>n/a</v>
      </c>
      <c r="AB118" s="89" t="s">
        <v>147</v>
      </c>
      <c r="AC118" s="47" t="s">
        <v>121</v>
      </c>
      <c r="AD118" s="48" t="n">
        <v>0.05</v>
      </c>
      <c r="AE118" s="49" t="s">
        <v>122</v>
      </c>
    </row>
    <row r="119" customFormat="false" ht="16.5" hidden="false" customHeight="true" outlineLevel="0" collapsed="false">
      <c r="A119" s="94" t="s">
        <v>305</v>
      </c>
      <c r="B119" s="95" t="s">
        <v>306</v>
      </c>
      <c r="C119" s="50" t="s">
        <v>84</v>
      </c>
      <c r="D119" s="50" t="s">
        <v>84</v>
      </c>
      <c r="E119" s="30" t="n">
        <v>317</v>
      </c>
      <c r="F119" s="30" t="n">
        <v>1947</v>
      </c>
      <c r="G119" s="50" t="s">
        <v>84</v>
      </c>
      <c r="H119" s="50" t="s">
        <v>84</v>
      </c>
      <c r="I119" s="50" t="s">
        <v>84</v>
      </c>
      <c r="J119" s="50" t="s">
        <v>84</v>
      </c>
      <c r="K119" s="50" t="s">
        <v>84</v>
      </c>
      <c r="L119" s="50" t="s">
        <v>84</v>
      </c>
      <c r="M119" s="33" t="n">
        <f aca="false">IFERROR(AVERAGEIF(C119:G119,"&gt;0"),0)</f>
        <v>1132</v>
      </c>
      <c r="N119" s="34" t="n">
        <f aca="false">IFERROR(AVERAGEIF(H119:K119,"&gt;0"),0)</f>
        <v>0</v>
      </c>
      <c r="O119" s="76" t="n">
        <f aca="false">N119-M119</f>
        <v>-1132</v>
      </c>
      <c r="P119" s="77" t="n">
        <f aca="false">IFERROR(N119/M119,"n/a")</f>
        <v>0</v>
      </c>
      <c r="Q119" s="69" t="n">
        <f aca="false">IFERROR(N119/$C$3,0)</f>
        <v>0</v>
      </c>
      <c r="R119" s="69" t="n">
        <f aca="false">IFERROR(O119/$D$4,0)</f>
        <v>-2.57445512218322E-005</v>
      </c>
      <c r="S119" s="78" t="n">
        <f aca="false">IFERROR((Q119+R119)/2,0)</f>
        <v>-1.28722756109161E-005</v>
      </c>
      <c r="T119" s="79"/>
      <c r="U119" s="41" t="str">
        <f aca="false">IFERROR(POWER(K119/C119,1/8)-1,"n/a")</f>
        <v>n/a</v>
      </c>
      <c r="V119" s="70" t="str">
        <f aca="false">IFERROR(POWER(K119/H119,1/3)-1,"n/a")</f>
        <v>n/a</v>
      </c>
      <c r="W119" s="90" t="str">
        <f aca="false">IFERROR(V119-U119,"n/a")</f>
        <v>n/a</v>
      </c>
      <c r="X119" s="88" t="n">
        <f aca="false">IFERROR(SLOPE(C119:K119,{1,2,3,4,5,6,7,8,9})/AVERAGEIF(C119:K119,"&gt;0"),"n/a")</f>
        <v>1.43992932862191</v>
      </c>
      <c r="Y119" s="88" t="str">
        <f aca="false">IFERROR(SLOPE(H119:K119,{1,2,3,4})/AVERAGEIF(H119:K119,"&gt;0"),"n/a")</f>
        <v>n/a</v>
      </c>
      <c r="Z119" s="45" t="str">
        <f aca="false">IFERROR(H119/G119,"n/a")</f>
        <v>n/a</v>
      </c>
      <c r="AA119" s="45" t="str">
        <f aca="false">IFERROR(H119/F119,"n/a")</f>
        <v>n/a</v>
      </c>
      <c r="AB119" s="89" t="s">
        <v>147</v>
      </c>
      <c r="AC119" s="47" t="s">
        <v>121</v>
      </c>
      <c r="AD119" s="48" t="n">
        <v>0.05</v>
      </c>
      <c r="AE119" s="49" t="s">
        <v>122</v>
      </c>
    </row>
    <row r="120" customFormat="false" ht="16.5" hidden="false" customHeight="true" outlineLevel="0" collapsed="false">
      <c r="A120" s="94" t="s">
        <v>307</v>
      </c>
      <c r="B120" s="95" t="s">
        <v>308</v>
      </c>
      <c r="C120" s="50" t="s">
        <v>84</v>
      </c>
      <c r="D120" s="50" t="s">
        <v>84</v>
      </c>
      <c r="E120" s="50" t="s">
        <v>84</v>
      </c>
      <c r="F120" s="50" t="s">
        <v>84</v>
      </c>
      <c r="G120" s="50" t="s">
        <v>84</v>
      </c>
      <c r="H120" s="50" t="s">
        <v>84</v>
      </c>
      <c r="I120" s="50" t="s">
        <v>84</v>
      </c>
      <c r="J120" s="50" t="s">
        <v>84</v>
      </c>
      <c r="K120" s="50" t="s">
        <v>84</v>
      </c>
      <c r="L120" s="50" t="s">
        <v>84</v>
      </c>
      <c r="M120" s="33" t="n">
        <f aca="false">IFERROR(AVERAGEIF(C120:G120,"&gt;0"),0)</f>
        <v>0</v>
      </c>
      <c r="N120" s="34" t="n">
        <f aca="false">IFERROR(AVERAGEIF(H120:K120,"&gt;0"),0)</f>
        <v>0</v>
      </c>
      <c r="O120" s="87" t="n">
        <f aca="false">N120-M120</f>
        <v>0</v>
      </c>
      <c r="P120" s="77" t="str">
        <f aca="false">IFERROR(N120/M120,"n/a")</f>
        <v>n/a</v>
      </c>
      <c r="Q120" s="69" t="n">
        <f aca="false">IFERROR(N120/$C$3,0)</f>
        <v>0</v>
      </c>
      <c r="R120" s="69" t="n">
        <f aca="false">IFERROR(O120/$D$4,0)</f>
        <v>0</v>
      </c>
      <c r="S120" s="78" t="n">
        <f aca="false">IFERROR((Q120+R120)/2,0)</f>
        <v>0</v>
      </c>
      <c r="T120" s="79"/>
      <c r="U120" s="70" t="str">
        <f aca="false">IFERROR(POWER(K120/C120,1/8)-1,"n/a")</f>
        <v>n/a</v>
      </c>
      <c r="V120" s="70" t="str">
        <f aca="false">IFERROR(POWER(K120/H120,1/3)-1,"n/a")</f>
        <v>n/a</v>
      </c>
      <c r="W120" s="90" t="str">
        <f aca="false">IFERROR(V120-U120,"n/a")</f>
        <v>n/a</v>
      </c>
      <c r="X120" s="88" t="str">
        <f aca="false">IFERROR(SLOPE(C120:K120,{1,2,3,4,5,6,7,8,9})/AVERAGEIF(C120:K120,"&gt;0"),"n/a")</f>
        <v>n/a</v>
      </c>
      <c r="Y120" s="88" t="str">
        <f aca="false">IFERROR(SLOPE(H120:K120,{1,2,3,4})/AVERAGEIF(H120:K120,"&gt;0"),"n/a")</f>
        <v>n/a</v>
      </c>
      <c r="Z120" s="45" t="str">
        <f aca="false">IFERROR(H120/G120,"n/a")</f>
        <v>n/a</v>
      </c>
      <c r="AA120" s="45" t="str">
        <f aca="false">IFERROR(H120/F120,"n/a")</f>
        <v>n/a</v>
      </c>
      <c r="AB120" s="89" t="s">
        <v>147</v>
      </c>
      <c r="AC120" s="47" t="s">
        <v>76</v>
      </c>
      <c r="AD120" s="48" t="n">
        <v>0.04</v>
      </c>
      <c r="AE120" s="49" t="s">
        <v>77</v>
      </c>
    </row>
    <row r="121" customFormat="false" ht="16.5" hidden="false" customHeight="true" outlineLevel="0" collapsed="false">
      <c r="A121" s="94" t="s">
        <v>309</v>
      </c>
      <c r="B121" s="95" t="s">
        <v>310</v>
      </c>
      <c r="C121" s="50" t="s">
        <v>84</v>
      </c>
      <c r="D121" s="50" t="s">
        <v>84</v>
      </c>
      <c r="E121" s="50" t="s">
        <v>84</v>
      </c>
      <c r="F121" s="50" t="s">
        <v>84</v>
      </c>
      <c r="G121" s="50" t="s">
        <v>84</v>
      </c>
      <c r="H121" s="50" t="s">
        <v>84</v>
      </c>
      <c r="I121" s="50" t="s">
        <v>84</v>
      </c>
      <c r="J121" s="50" t="s">
        <v>84</v>
      </c>
      <c r="K121" s="50" t="s">
        <v>84</v>
      </c>
      <c r="L121" s="50" t="s">
        <v>84</v>
      </c>
      <c r="M121" s="33" t="n">
        <f aca="false">IFERROR(AVERAGEIF(C121:G121,"&gt;0"),0)</f>
        <v>0</v>
      </c>
      <c r="N121" s="34" t="n">
        <f aca="false">IFERROR(AVERAGEIF(H121:K121,"&gt;0"),0)</f>
        <v>0</v>
      </c>
      <c r="O121" s="87" t="n">
        <f aca="false">N121-M121</f>
        <v>0</v>
      </c>
      <c r="P121" s="77" t="str">
        <f aca="false">IFERROR(N121/M121,"n/a")</f>
        <v>n/a</v>
      </c>
      <c r="Q121" s="69" t="n">
        <f aca="false">IFERROR(N121/$C$3,0)</f>
        <v>0</v>
      </c>
      <c r="R121" s="69" t="n">
        <f aca="false">IFERROR(O121/$D$4,0)</f>
        <v>0</v>
      </c>
      <c r="S121" s="78" t="n">
        <f aca="false">IFERROR((Q121+R121)/2,0)</f>
        <v>0</v>
      </c>
      <c r="T121" s="79"/>
      <c r="U121" s="70" t="str">
        <f aca="false">IFERROR(POWER(K121/C121,1/8)-1,"n/a")</f>
        <v>n/a</v>
      </c>
      <c r="V121" s="70" t="str">
        <f aca="false">IFERROR(POWER(K121/H121,1/3)-1,"n/a")</f>
        <v>n/a</v>
      </c>
      <c r="W121" s="90" t="str">
        <f aca="false">IFERROR(V121-U121,"n/a")</f>
        <v>n/a</v>
      </c>
      <c r="X121" s="88" t="str">
        <f aca="false">IFERROR(SLOPE(C121:K121,{1,2,3,4,5,6,7,8,9})/AVERAGEIF(C121:K121,"&gt;0"),"n/a")</f>
        <v>n/a</v>
      </c>
      <c r="Y121" s="88" t="str">
        <f aca="false">IFERROR(SLOPE(H121:K121,{1,2,3,4})/AVERAGEIF(H121:K121,"&gt;0"),"n/a")</f>
        <v>n/a</v>
      </c>
      <c r="Z121" s="45" t="str">
        <f aca="false">IFERROR(H121/G121,"n/a")</f>
        <v>n/a</v>
      </c>
      <c r="AA121" s="45" t="str">
        <f aca="false">IFERROR(H121/F121,"n/a")</f>
        <v>n/a</v>
      </c>
      <c r="AB121" s="89" t="s">
        <v>147</v>
      </c>
      <c r="AC121" s="47" t="s">
        <v>80</v>
      </c>
      <c r="AD121" s="48" t="n">
        <v>0.025</v>
      </c>
      <c r="AE121" s="49" t="s">
        <v>81</v>
      </c>
    </row>
    <row r="122" customFormat="false" ht="16.5" hidden="false" customHeight="true" outlineLevel="0" collapsed="false">
      <c r="A122" s="94" t="s">
        <v>311</v>
      </c>
      <c r="B122" s="95" t="s">
        <v>312</v>
      </c>
      <c r="C122" s="50" t="s">
        <v>84</v>
      </c>
      <c r="D122" s="50" t="s">
        <v>84</v>
      </c>
      <c r="E122" s="50" t="s">
        <v>84</v>
      </c>
      <c r="F122" s="50" t="s">
        <v>84</v>
      </c>
      <c r="G122" s="50" t="s">
        <v>84</v>
      </c>
      <c r="H122" s="50" t="s">
        <v>84</v>
      </c>
      <c r="I122" s="50" t="s">
        <v>84</v>
      </c>
      <c r="J122" s="50" t="s">
        <v>84</v>
      </c>
      <c r="K122" s="50" t="s">
        <v>84</v>
      </c>
      <c r="L122" s="50" t="s">
        <v>84</v>
      </c>
      <c r="M122" s="33" t="n">
        <f aca="false">IFERROR(AVERAGEIF(C122:G122,"&gt;0"),0)</f>
        <v>0</v>
      </c>
      <c r="N122" s="34" t="n">
        <f aca="false">IFERROR(AVERAGEIF(H122:K122,"&gt;0"),0)</f>
        <v>0</v>
      </c>
      <c r="O122" s="87" t="n">
        <f aca="false">N122-M122</f>
        <v>0</v>
      </c>
      <c r="P122" s="77" t="str">
        <f aca="false">IFERROR(N122/M122,"n/a")</f>
        <v>n/a</v>
      </c>
      <c r="Q122" s="69" t="n">
        <f aca="false">IFERROR(N122/$C$3,0)</f>
        <v>0</v>
      </c>
      <c r="R122" s="69" t="n">
        <f aca="false">IFERROR(O122/$D$4,0)</f>
        <v>0</v>
      </c>
      <c r="S122" s="78" t="n">
        <f aca="false">IFERROR((Q122+R122)/2,0)</f>
        <v>0</v>
      </c>
      <c r="T122" s="79"/>
      <c r="U122" s="70" t="str">
        <f aca="false">IFERROR(POWER(K122/C122,1/8)-1,"n/a")</f>
        <v>n/a</v>
      </c>
      <c r="V122" s="70" t="str">
        <f aca="false">IFERROR(POWER(K122/H122,1/3)-1,"n/a")</f>
        <v>n/a</v>
      </c>
      <c r="W122" s="90" t="str">
        <f aca="false">IFERROR(V122-U122,"n/a")</f>
        <v>n/a</v>
      </c>
      <c r="X122" s="88" t="str">
        <f aca="false">IFERROR(SLOPE(C122:K122,{1,2,3,4,5,6,7,8,9})/AVERAGEIF(C122:K122,"&gt;0"),"n/a")</f>
        <v>n/a</v>
      </c>
      <c r="Y122" s="88" t="str">
        <f aca="false">IFERROR(SLOPE(H122:K122,{1,2,3,4})/AVERAGEIF(H122:K122,"&gt;0"),"n/a")</f>
        <v>n/a</v>
      </c>
      <c r="Z122" s="45" t="str">
        <f aca="false">IFERROR(H122/G122,"n/a")</f>
        <v>n/a</v>
      </c>
      <c r="AA122" s="45" t="str">
        <f aca="false">IFERROR(H122/F122,"n/a")</f>
        <v>n/a</v>
      </c>
      <c r="AB122" s="89" t="s">
        <v>147</v>
      </c>
      <c r="AC122" s="47" t="s">
        <v>80</v>
      </c>
      <c r="AD122" s="48" t="n">
        <v>0.025</v>
      </c>
      <c r="AE122" s="49" t="s">
        <v>81</v>
      </c>
    </row>
    <row r="123" customFormat="false" ht="16.5" hidden="false" customHeight="true" outlineLevel="0" collapsed="false">
      <c r="A123" s="94" t="s">
        <v>313</v>
      </c>
      <c r="B123" s="95" t="s">
        <v>314</v>
      </c>
      <c r="C123" s="50" t="s">
        <v>84</v>
      </c>
      <c r="D123" s="50" t="s">
        <v>84</v>
      </c>
      <c r="E123" s="50" t="s">
        <v>84</v>
      </c>
      <c r="F123" s="50" t="s">
        <v>84</v>
      </c>
      <c r="G123" s="50" t="s">
        <v>84</v>
      </c>
      <c r="H123" s="50" t="s">
        <v>84</v>
      </c>
      <c r="I123" s="50" t="s">
        <v>84</v>
      </c>
      <c r="J123" s="50" t="s">
        <v>84</v>
      </c>
      <c r="K123" s="50" t="s">
        <v>84</v>
      </c>
      <c r="L123" s="50" t="s">
        <v>84</v>
      </c>
      <c r="M123" s="33" t="n">
        <f aca="false">IFERROR(AVERAGEIF(C123:G123,"&gt;0"),0)</f>
        <v>0</v>
      </c>
      <c r="N123" s="34" t="n">
        <f aca="false">IFERROR(AVERAGEIF(H123:K123,"&gt;0"),0)</f>
        <v>0</v>
      </c>
      <c r="O123" s="87" t="n">
        <f aca="false">N123-M123</f>
        <v>0</v>
      </c>
      <c r="P123" s="77" t="str">
        <f aca="false">IFERROR(N123/M123,"n/a")</f>
        <v>n/a</v>
      </c>
      <c r="Q123" s="69" t="n">
        <f aca="false">IFERROR(N123/$C$3,0)</f>
        <v>0</v>
      </c>
      <c r="R123" s="69" t="n">
        <f aca="false">IFERROR(O123/$D$4,0)</f>
        <v>0</v>
      </c>
      <c r="S123" s="78" t="n">
        <f aca="false">IFERROR((Q123+R123)/2,0)</f>
        <v>0</v>
      </c>
      <c r="T123" s="79"/>
      <c r="U123" s="70" t="str">
        <f aca="false">IFERROR(POWER(K123/C123,1/8)-1,"n/a")</f>
        <v>n/a</v>
      </c>
      <c r="V123" s="70" t="str">
        <f aca="false">IFERROR(POWER(K123/H123,1/3)-1,"n/a")</f>
        <v>n/a</v>
      </c>
      <c r="W123" s="90" t="str">
        <f aca="false">IFERROR(V123-U123,"n/a")</f>
        <v>n/a</v>
      </c>
      <c r="X123" s="88" t="str">
        <f aca="false">IFERROR(SLOPE(C123:K123,{1,2,3,4,5,6,7,8,9})/AVERAGEIF(C123:K123,"&gt;0"),"n/a")</f>
        <v>n/a</v>
      </c>
      <c r="Y123" s="88" t="str">
        <f aca="false">IFERROR(SLOPE(H123:K123,{1,2,3,4})/AVERAGEIF(H123:K123,"&gt;0"),"n/a")</f>
        <v>n/a</v>
      </c>
      <c r="Z123" s="45" t="str">
        <f aca="false">IFERROR(H123/G123,"n/a")</f>
        <v>n/a</v>
      </c>
      <c r="AA123" s="45" t="str">
        <f aca="false">IFERROR(H123/F123,"n/a")</f>
        <v>n/a</v>
      </c>
      <c r="AB123" s="89" t="s">
        <v>147</v>
      </c>
      <c r="AC123" s="47" t="s">
        <v>80</v>
      </c>
      <c r="AD123" s="48" t="n">
        <v>0.025</v>
      </c>
      <c r="AE123" s="49" t="s">
        <v>81</v>
      </c>
    </row>
    <row r="124" customFormat="false" ht="16.5" hidden="false" customHeight="true" outlineLevel="0" collapsed="false">
      <c r="A124" s="94" t="s">
        <v>315</v>
      </c>
      <c r="B124" s="95" t="s">
        <v>316</v>
      </c>
      <c r="C124" s="50" t="s">
        <v>84</v>
      </c>
      <c r="D124" s="50" t="s">
        <v>84</v>
      </c>
      <c r="E124" s="50" t="s">
        <v>84</v>
      </c>
      <c r="F124" s="50" t="s">
        <v>84</v>
      </c>
      <c r="G124" s="50" t="s">
        <v>84</v>
      </c>
      <c r="H124" s="50" t="s">
        <v>84</v>
      </c>
      <c r="I124" s="50" t="s">
        <v>84</v>
      </c>
      <c r="J124" s="50" t="s">
        <v>84</v>
      </c>
      <c r="K124" s="50" t="s">
        <v>84</v>
      </c>
      <c r="L124" s="50" t="s">
        <v>84</v>
      </c>
      <c r="M124" s="33" t="n">
        <f aca="false">IFERROR(AVERAGEIF(C124:G124,"&gt;0"),0)</f>
        <v>0</v>
      </c>
      <c r="N124" s="34" t="n">
        <f aca="false">IFERROR(AVERAGEIF(H124:K124,"&gt;0"),0)</f>
        <v>0</v>
      </c>
      <c r="O124" s="87" t="n">
        <f aca="false">N124-M124</f>
        <v>0</v>
      </c>
      <c r="P124" s="77" t="str">
        <f aca="false">IFERROR(N124/M124,"n/a")</f>
        <v>n/a</v>
      </c>
      <c r="Q124" s="69" t="n">
        <f aca="false">IFERROR(N124/$C$3,0)</f>
        <v>0</v>
      </c>
      <c r="R124" s="69" t="n">
        <f aca="false">IFERROR(O124/$D$4,0)</f>
        <v>0</v>
      </c>
      <c r="S124" s="78" t="n">
        <f aca="false">IFERROR((Q124+R124)/2,0)</f>
        <v>0</v>
      </c>
      <c r="T124" s="79"/>
      <c r="U124" s="70" t="str">
        <f aca="false">IFERROR(POWER(K124/C124,1/8)-1,"n/a")</f>
        <v>n/a</v>
      </c>
      <c r="V124" s="70" t="str">
        <f aca="false">IFERROR(POWER(K124/H124,1/3)-1,"n/a")</f>
        <v>n/a</v>
      </c>
      <c r="W124" s="90" t="str">
        <f aca="false">IFERROR(V124-U124,"n/a")</f>
        <v>n/a</v>
      </c>
      <c r="X124" s="88" t="str">
        <f aca="false">IFERROR(SLOPE(C124:K124,{1,2,3,4,5,6,7,8,9})/AVERAGEIF(C124:K124,"&gt;0"),"n/a")</f>
        <v>n/a</v>
      </c>
      <c r="Y124" s="88" t="str">
        <f aca="false">IFERROR(SLOPE(H124:K124,{1,2,3,4})/AVERAGEIF(H124:K124,"&gt;0"),"n/a")</f>
        <v>n/a</v>
      </c>
      <c r="Z124" s="45" t="str">
        <f aca="false">IFERROR(H124/G124,"n/a")</f>
        <v>n/a</v>
      </c>
      <c r="AA124" s="45" t="str">
        <f aca="false">IFERROR(H124/F124,"n/a")</f>
        <v>n/a</v>
      </c>
      <c r="AB124" s="89" t="s">
        <v>147</v>
      </c>
      <c r="AC124" s="85" t="s">
        <v>244</v>
      </c>
      <c r="AD124" s="86" t="s">
        <v>140</v>
      </c>
      <c r="AE124" s="86" t="s">
        <v>84</v>
      </c>
    </row>
    <row r="125" customFormat="false" ht="16.5" hidden="false" customHeight="true" outlineLevel="0" collapsed="false">
      <c r="A125" s="94" t="s">
        <v>317</v>
      </c>
      <c r="B125" s="95" t="s">
        <v>318</v>
      </c>
      <c r="C125" s="50" t="s">
        <v>84</v>
      </c>
      <c r="D125" s="50" t="s">
        <v>84</v>
      </c>
      <c r="E125" s="50" t="s">
        <v>84</v>
      </c>
      <c r="F125" s="50" t="s">
        <v>84</v>
      </c>
      <c r="G125" s="50" t="s">
        <v>84</v>
      </c>
      <c r="H125" s="50" t="s">
        <v>84</v>
      </c>
      <c r="I125" s="50" t="s">
        <v>84</v>
      </c>
      <c r="J125" s="50" t="s">
        <v>84</v>
      </c>
      <c r="K125" s="50" t="s">
        <v>84</v>
      </c>
      <c r="L125" s="50" t="s">
        <v>84</v>
      </c>
      <c r="M125" s="33" t="n">
        <f aca="false">IFERROR(AVERAGEIF(C125:G125,"&gt;0"),0)</f>
        <v>0</v>
      </c>
      <c r="N125" s="34" t="n">
        <f aca="false">IFERROR(AVERAGEIF(H125:K125,"&gt;0"),0)</f>
        <v>0</v>
      </c>
      <c r="O125" s="87" t="n">
        <f aca="false">N125-M125</f>
        <v>0</v>
      </c>
      <c r="P125" s="77" t="str">
        <f aca="false">IFERROR(N125/M125,"n/a")</f>
        <v>n/a</v>
      </c>
      <c r="Q125" s="69" t="n">
        <f aca="false">IFERROR(N125/$C$3,0)</f>
        <v>0</v>
      </c>
      <c r="R125" s="69" t="n">
        <f aca="false">IFERROR(O125/$D$4,0)</f>
        <v>0</v>
      </c>
      <c r="S125" s="78" t="n">
        <f aca="false">IFERROR((Q125+R125)/2,0)</f>
        <v>0</v>
      </c>
      <c r="T125" s="79"/>
      <c r="U125" s="70" t="str">
        <f aca="false">IFERROR(POWER(K125/C125,1/8)-1,"n/a")</f>
        <v>n/a</v>
      </c>
      <c r="V125" s="70" t="str">
        <f aca="false">IFERROR(POWER(K125/H125,1/3)-1,"n/a")</f>
        <v>n/a</v>
      </c>
      <c r="W125" s="90" t="str">
        <f aca="false">IFERROR(V125-U125,"n/a")</f>
        <v>n/a</v>
      </c>
      <c r="X125" s="88" t="str">
        <f aca="false">IFERROR(SLOPE(C125:K125,{1,2,3,4,5,6,7,8,9})/AVERAGEIF(C125:K125,"&gt;0"),"n/a")</f>
        <v>n/a</v>
      </c>
      <c r="Y125" s="88" t="str">
        <f aca="false">IFERROR(SLOPE(H125:K125,{1,2,3,4})/AVERAGEIF(H125:K125,"&gt;0"),"n/a")</f>
        <v>n/a</v>
      </c>
      <c r="Z125" s="45" t="str">
        <f aca="false">IFERROR(H125/G125,"n/a")</f>
        <v>n/a</v>
      </c>
      <c r="AA125" s="45" t="str">
        <f aca="false">IFERROR(H125/F125,"n/a")</f>
        <v>n/a</v>
      </c>
      <c r="AB125" s="89" t="s">
        <v>147</v>
      </c>
      <c r="AC125" s="85" t="s">
        <v>139</v>
      </c>
      <c r="AD125" s="86" t="s">
        <v>140</v>
      </c>
      <c r="AE125" s="86" t="s">
        <v>84</v>
      </c>
    </row>
    <row r="127" customFormat="false" ht="18" hidden="false" customHeight="true" outlineLevel="0" collapsed="false">
      <c r="A127" s="98" t="s">
        <v>319</v>
      </c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</row>
  </sheetData>
  <mergeCells count="27">
    <mergeCell ref="A1:AE1"/>
    <mergeCell ref="A2:AE2"/>
    <mergeCell ref="A3:B3"/>
    <mergeCell ref="D3:AE3"/>
    <mergeCell ref="A4:C4"/>
    <mergeCell ref="E4:AE4"/>
    <mergeCell ref="C5:G5"/>
    <mergeCell ref="H5:K5"/>
    <mergeCell ref="M5:T5"/>
    <mergeCell ref="U5:W5"/>
    <mergeCell ref="X5:Y5"/>
    <mergeCell ref="Z5:AB5"/>
    <mergeCell ref="AC5:AE5"/>
    <mergeCell ref="A9:B9"/>
    <mergeCell ref="A11:AE11"/>
    <mergeCell ref="A12:AE12"/>
    <mergeCell ref="A18:AE18"/>
    <mergeCell ref="A19:AE19"/>
    <mergeCell ref="A26:AE26"/>
    <mergeCell ref="A27:AE27"/>
    <mergeCell ref="A31:AE31"/>
    <mergeCell ref="A32:AE32"/>
    <mergeCell ref="A60:AE60"/>
    <mergeCell ref="A61:AE61"/>
    <mergeCell ref="A100:AE100"/>
    <mergeCell ref="A101:AE101"/>
    <mergeCell ref="A127:AE1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12" min="3" style="0" width="9"/>
    <col collapsed="false" customWidth="true" hidden="false" outlineLevel="0" max="14" min="13" style="0" width="13"/>
    <col collapsed="false" customWidth="true" hidden="false" outlineLevel="0" max="15" min="15" style="0" width="14"/>
    <col collapsed="false" customWidth="true" hidden="false" outlineLevel="0" max="16" min="16" style="0" width="9"/>
    <col collapsed="false" customWidth="true" hidden="false" outlineLevel="0" max="22" min="17" style="0" width="10"/>
    <col collapsed="false" customWidth="true" hidden="false" outlineLevel="0" max="23" min="23" style="0" width="11"/>
    <col collapsed="false" customWidth="true" hidden="false" outlineLevel="0" max="28" min="24" style="0" width="9"/>
    <col collapsed="false" customWidth="true" hidden="false" outlineLevel="0" max="29" min="29" style="0" width="24"/>
    <col collapsed="false" customWidth="true" hidden="false" outlineLevel="0" max="31" min="30" style="0" width="9"/>
  </cols>
  <sheetData>
    <row r="1" customFormat="false" ht="27.75" hidden="false" customHeight="true" outlineLevel="0" collapsed="false">
      <c r="A1" s="1" t="s">
        <v>320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18" hidden="false" customHeight="true" outlineLevel="0" collapsed="false">
      <c r="A3" s="3" t="s">
        <v>2</v>
      </c>
      <c r="B3" s="3"/>
      <c r="C3" s="4" t="n">
        <v>304764587.833333</v>
      </c>
      <c r="D3" s="5" t="s">
        <v>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customFormat="false" ht="18" hidden="false" customHeight="true" outlineLevel="0" collapsed="false">
      <c r="A4" s="3" t="s">
        <v>4</v>
      </c>
      <c r="B4" s="3"/>
      <c r="C4" s="3"/>
      <c r="D4" s="6" t="n">
        <v>99910226.8</v>
      </c>
      <c r="E4" s="5" t="s">
        <v>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customFormat="false" ht="24" hidden="false" customHeight="true" outlineLevel="0" collapsed="false">
      <c r="C5" s="7" t="s">
        <v>6</v>
      </c>
      <c r="D5" s="7"/>
      <c r="E5" s="7"/>
      <c r="F5" s="7"/>
      <c r="G5" s="7"/>
      <c r="H5" s="8" t="s">
        <v>7</v>
      </c>
      <c r="I5" s="8"/>
      <c r="J5" s="8"/>
      <c r="K5" s="8"/>
      <c r="L5" s="9" t="s">
        <v>8</v>
      </c>
      <c r="M5" s="10" t="s">
        <v>9</v>
      </c>
      <c r="N5" s="10"/>
      <c r="O5" s="10"/>
      <c r="P5" s="10"/>
      <c r="Q5" s="10"/>
      <c r="R5" s="10"/>
      <c r="S5" s="10"/>
      <c r="T5" s="10"/>
      <c r="U5" s="10" t="s">
        <v>10</v>
      </c>
      <c r="V5" s="10"/>
      <c r="W5" s="10"/>
      <c r="X5" s="10" t="s">
        <v>11</v>
      </c>
      <c r="Y5" s="10"/>
      <c r="Z5" s="11" t="s">
        <v>12</v>
      </c>
      <c r="AA5" s="11"/>
      <c r="AB5" s="11"/>
      <c r="AC5" s="12" t="s">
        <v>321</v>
      </c>
      <c r="AD5" s="12"/>
      <c r="AE5" s="12"/>
    </row>
    <row r="6" customFormat="false" ht="43.5" hidden="false" customHeight="true" outlineLevel="0" collapsed="false">
      <c r="A6" s="13"/>
      <c r="B6" s="13"/>
      <c r="C6" s="14"/>
      <c r="D6" s="14"/>
      <c r="E6" s="14"/>
      <c r="F6" s="14"/>
      <c r="G6" s="14"/>
      <c r="H6" s="15"/>
      <c r="I6" s="15"/>
      <c r="J6" s="15"/>
      <c r="K6" s="15"/>
      <c r="L6" s="16"/>
      <c r="M6" s="17" t="s">
        <v>14</v>
      </c>
      <c r="N6" s="17" t="s">
        <v>15</v>
      </c>
      <c r="O6" s="17" t="s">
        <v>16</v>
      </c>
      <c r="P6" s="17" t="s">
        <v>17</v>
      </c>
      <c r="Q6" s="17" t="s">
        <v>18</v>
      </c>
      <c r="R6" s="17" t="s">
        <v>19</v>
      </c>
      <c r="S6" s="17" t="s">
        <v>20</v>
      </c>
      <c r="T6" s="17" t="s">
        <v>21</v>
      </c>
      <c r="U6" s="17" t="s">
        <v>22</v>
      </c>
      <c r="V6" s="17" t="s">
        <v>23</v>
      </c>
      <c r="W6" s="17" t="s">
        <v>24</v>
      </c>
      <c r="X6" s="17" t="s">
        <v>25</v>
      </c>
      <c r="Y6" s="17" t="s">
        <v>26</v>
      </c>
      <c r="Z6" s="18" t="s">
        <v>27</v>
      </c>
      <c r="AA6" s="18" t="s">
        <v>28</v>
      </c>
      <c r="AB6" s="18" t="s">
        <v>29</v>
      </c>
      <c r="AC6" s="19" t="s">
        <v>30</v>
      </c>
      <c r="AD6" s="19" t="s">
        <v>31</v>
      </c>
      <c r="AE6" s="19" t="s">
        <v>32</v>
      </c>
    </row>
    <row r="7" customFormat="false" ht="15" hidden="false" customHeight="true" outlineLevel="0" collapsed="false">
      <c r="A7" s="20"/>
      <c r="B7" s="20"/>
      <c r="C7" s="21" t="s">
        <v>33</v>
      </c>
      <c r="D7" s="21" t="s">
        <v>34</v>
      </c>
      <c r="E7" s="21" t="s">
        <v>35</v>
      </c>
      <c r="F7" s="21" t="s">
        <v>36</v>
      </c>
      <c r="G7" s="21" t="s">
        <v>37</v>
      </c>
      <c r="H7" s="22" t="s">
        <v>38</v>
      </c>
      <c r="I7" s="22" t="s">
        <v>39</v>
      </c>
      <c r="J7" s="22" t="s">
        <v>40</v>
      </c>
      <c r="K7" s="22" t="s">
        <v>41</v>
      </c>
      <c r="L7" s="23" t="s">
        <v>8</v>
      </c>
    </row>
    <row r="8" customFormat="false" ht="3.75" hidden="false" customHeight="true" outlineLevel="0" collapsed="false"/>
    <row r="9" customFormat="false" ht="12.75" hidden="false" customHeight="true" outlineLevel="0" collapsed="false">
      <c r="A9" s="24" t="s">
        <v>42</v>
      </c>
      <c r="B9" s="24"/>
      <c r="C9" s="25" t="s">
        <v>43</v>
      </c>
      <c r="D9" s="25" t="s">
        <v>44</v>
      </c>
      <c r="E9" s="25" t="s">
        <v>45</v>
      </c>
      <c r="F9" s="25" t="s">
        <v>46</v>
      </c>
      <c r="G9" s="25" t="s">
        <v>47</v>
      </c>
      <c r="H9" s="25" t="s">
        <v>48</v>
      </c>
      <c r="I9" s="25" t="s">
        <v>49</v>
      </c>
      <c r="J9" s="25" t="s">
        <v>50</v>
      </c>
      <c r="K9" s="25" t="s">
        <v>51</v>
      </c>
      <c r="L9" s="25" t="s">
        <v>52</v>
      </c>
      <c r="M9" s="25" t="s">
        <v>53</v>
      </c>
      <c r="N9" s="25" t="s">
        <v>54</v>
      </c>
      <c r="O9" s="25" t="s">
        <v>55</v>
      </c>
      <c r="P9" s="25" t="s">
        <v>56</v>
      </c>
      <c r="Q9" s="25" t="s">
        <v>57</v>
      </c>
      <c r="R9" s="25" t="s">
        <v>58</v>
      </c>
      <c r="S9" s="25" t="s">
        <v>59</v>
      </c>
      <c r="T9" s="25" t="s">
        <v>60</v>
      </c>
      <c r="U9" s="25" t="s">
        <v>61</v>
      </c>
      <c r="V9" s="25" t="s">
        <v>62</v>
      </c>
      <c r="W9" s="25" t="s">
        <v>63</v>
      </c>
      <c r="X9" s="25" t="s">
        <v>64</v>
      </c>
      <c r="Y9" s="25" t="s">
        <v>65</v>
      </c>
      <c r="Z9" s="25" t="s">
        <v>66</v>
      </c>
      <c r="AA9" s="25" t="s">
        <v>67</v>
      </c>
      <c r="AB9" s="25" t="s">
        <v>68</v>
      </c>
      <c r="AC9" s="25" t="s">
        <v>69</v>
      </c>
      <c r="AD9" s="25" t="s">
        <v>70</v>
      </c>
      <c r="AE9" s="25" t="s">
        <v>71</v>
      </c>
    </row>
    <row r="11" customFormat="false" ht="21.75" hidden="false" customHeight="true" outlineLevel="0" collapsed="false">
      <c r="A11" s="26" t="s">
        <v>322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customFormat="false" ht="15" hidden="false" customHeight="true" outlineLevel="0" collapsed="false">
      <c r="A12" s="27" t="s">
        <v>73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 customFormat="false" ht="16.5" hidden="false" customHeight="true" outlineLevel="0" collapsed="false">
      <c r="A13" s="28" t="s">
        <v>242</v>
      </c>
      <c r="B13" s="29" t="s">
        <v>243</v>
      </c>
      <c r="C13" s="30" t="n">
        <v>118547901</v>
      </c>
      <c r="D13" s="30" t="n">
        <v>106451456</v>
      </c>
      <c r="E13" s="30" t="n">
        <v>130567091</v>
      </c>
      <c r="F13" s="30" t="n">
        <v>137822236</v>
      </c>
      <c r="G13" s="30" t="n">
        <v>156278385</v>
      </c>
      <c r="H13" s="31" t="n">
        <v>200948795</v>
      </c>
      <c r="I13" s="31" t="n">
        <v>158236408</v>
      </c>
      <c r="J13" s="31" t="n">
        <v>184139041</v>
      </c>
      <c r="K13" s="31" t="n">
        <v>215394677</v>
      </c>
      <c r="L13" s="32" t="n">
        <v>272308216</v>
      </c>
      <c r="M13" s="33" t="n">
        <f aca="false">IFERROR(AVERAGEIF(C13:G13,"&gt;0"),0)</f>
        <v>129933413.8</v>
      </c>
      <c r="N13" s="34" t="n">
        <f aca="false">IFERROR(AVERAGEIF(H13:K13,"&gt;0"),0)</f>
        <v>189679730.25</v>
      </c>
      <c r="O13" s="35" t="n">
        <f aca="false">N13-M13</f>
        <v>59746316.45</v>
      </c>
      <c r="P13" s="36" t="n">
        <f aca="false">IFERROR(N13/M13,"n/a")</f>
        <v>1.4598225714439</v>
      </c>
      <c r="Q13" s="37" t="n">
        <f aca="false">IFERROR(N13/$C$3,0)</f>
        <v>0.622381135546267</v>
      </c>
      <c r="R13" s="37" t="n">
        <f aca="false">IFERROR(O13/$D$4,0)</f>
        <v>0.5980000082434</v>
      </c>
      <c r="S13" s="38" t="n">
        <f aca="false">IFERROR((Q13+R13)/2,0)</f>
        <v>0.610190571894834</v>
      </c>
      <c r="T13" s="39" t="n">
        <v>0.61741481067859</v>
      </c>
      <c r="U13" s="40" t="n">
        <f aca="false">IFERROR(POWER(K13/C13,1/8)-1,"n/a")</f>
        <v>0.0775008891455784</v>
      </c>
      <c r="V13" s="70" t="n">
        <f aca="false">IFERROR(POWER(K13/H13,1/3)-1,"n/a")</f>
        <v>0.0234104645662572</v>
      </c>
      <c r="W13" s="53" t="n">
        <f aca="false">IFERROR(V13-U13,"n/a")</f>
        <v>-0.0540904245793212</v>
      </c>
      <c r="X13" s="43" t="n">
        <f aca="false">IFERROR(SLOPE(C13:K13,{1,2,3,4,5,6,7,8,9})/AVERAGEIF(C13:K13,"&gt;0"),"n/a")</f>
        <v>0.0786980689860455</v>
      </c>
      <c r="Y13" s="43" t="n">
        <f aca="false">IFERROR(SLOPE(H13:K13,{1,2,3,4})/AVERAGEIF(H13:K13,"&gt;0"),"n/a")</f>
        <v>0.0365037839882736</v>
      </c>
      <c r="Z13" s="44" t="n">
        <f aca="false">IFERROR(H13/G13,"n/a")</f>
        <v>1.28583869739888</v>
      </c>
      <c r="AA13" s="45" t="n">
        <f aca="false">IFERROR(H13/F13,"n/a")</f>
        <v>1.45802884086135</v>
      </c>
      <c r="AB13" s="56" t="n">
        <v>1.35969540336972</v>
      </c>
      <c r="AC13" s="47" t="s">
        <v>323</v>
      </c>
      <c r="AD13" s="65" t="n">
        <v>0.14</v>
      </c>
      <c r="AE13" s="66" t="s">
        <v>324</v>
      </c>
    </row>
    <row r="14" customFormat="false" ht="16.5" hidden="false" customHeight="true" outlineLevel="0" collapsed="false">
      <c r="A14" s="28" t="s">
        <v>85</v>
      </c>
      <c r="B14" s="29" t="s">
        <v>86</v>
      </c>
      <c r="C14" s="30" t="n">
        <v>29603121</v>
      </c>
      <c r="D14" s="30" t="n">
        <v>24516341</v>
      </c>
      <c r="E14" s="30" t="n">
        <v>27511381</v>
      </c>
      <c r="F14" s="30" t="n">
        <v>32690097</v>
      </c>
      <c r="G14" s="30" t="n">
        <v>29712064</v>
      </c>
      <c r="H14" s="31" t="n">
        <v>32670426</v>
      </c>
      <c r="I14" s="31" t="n">
        <v>34344085</v>
      </c>
      <c r="J14" s="31" t="n">
        <v>43599507</v>
      </c>
      <c r="K14" s="31" t="n">
        <v>81249097</v>
      </c>
      <c r="L14" s="32" t="n">
        <v>75662608</v>
      </c>
      <c r="M14" s="33" t="n">
        <f aca="false">IFERROR(AVERAGEIF(C14:G14,"&gt;0"),0)</f>
        <v>28806600.8</v>
      </c>
      <c r="N14" s="34" t="n">
        <f aca="false">IFERROR(AVERAGEIF(H14:K14,"&gt;0"),0)</f>
        <v>47965778.75</v>
      </c>
      <c r="O14" s="35" t="n">
        <f aca="false">N14-M14</f>
        <v>19159177.95</v>
      </c>
      <c r="P14" s="36" t="n">
        <f aca="false">IFERROR(N14/M14,"n/a")</f>
        <v>1.66509679788391</v>
      </c>
      <c r="Q14" s="37" t="n">
        <f aca="false">IFERROR(N14/$C$3,0)</f>
        <v>0.157386325921275</v>
      </c>
      <c r="R14" s="37" t="n">
        <f aca="false">IFERROR(O14/$D$4,0)</f>
        <v>0.191763932118308</v>
      </c>
      <c r="S14" s="38" t="n">
        <f aca="false">IFERROR((Q14+R14)/2,0)</f>
        <v>0.174575129019792</v>
      </c>
      <c r="T14" s="39" t="n">
        <v>0.793816788770141</v>
      </c>
      <c r="U14" s="40" t="n">
        <f aca="false">IFERROR(POWER(K14/C14,1/8)-1,"n/a")</f>
        <v>0.13451470753196</v>
      </c>
      <c r="V14" s="41" t="n">
        <f aca="false">IFERROR(POWER(K14/H14,1/3)-1,"n/a")</f>
        <v>0.354839703629703</v>
      </c>
      <c r="W14" s="42" t="n">
        <f aca="false">IFERROR(V14-U14,"n/a")</f>
        <v>0.220324996097743</v>
      </c>
      <c r="X14" s="43" t="n">
        <f aca="false">IFERROR(SLOPE(C14:K14,{1,2,3,4,5,6,7,8,9})/AVERAGEIF(C14:K14,"&gt;0"),"n/a")</f>
        <v>0.123912925739996</v>
      </c>
      <c r="Y14" s="43" t="n">
        <f aca="false">IFERROR(SLOPE(H14:K14,{1,2,3,4})/AVERAGEIF(H14:K14,"&gt;0"),"n/a")</f>
        <v>0.323129195520463</v>
      </c>
      <c r="Z14" s="44" t="n">
        <f aca="false">IFERROR(H14/G14,"n/a")</f>
        <v>1.09956770421604</v>
      </c>
      <c r="AA14" s="45" t="n">
        <f aca="false">IFERROR(H14/F14,"n/a")</f>
        <v>0.999398258133036</v>
      </c>
      <c r="AB14" s="56" t="n">
        <v>1.38560210491735</v>
      </c>
      <c r="AC14" s="47" t="s">
        <v>325</v>
      </c>
      <c r="AD14" s="48" t="n">
        <v>0.07</v>
      </c>
      <c r="AE14" s="49" t="s">
        <v>326</v>
      </c>
    </row>
    <row r="16" customFormat="false" ht="21.75" hidden="false" customHeight="true" outlineLevel="0" collapsed="false">
      <c r="A16" s="60" t="s">
        <v>327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</row>
    <row r="17" customFormat="false" ht="15" hidden="false" customHeight="true" outlineLevel="0" collapsed="false">
      <c r="A17" s="61" t="s">
        <v>88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</row>
    <row r="18" customFormat="false" ht="16.5" hidden="false" customHeight="true" outlineLevel="0" collapsed="false">
      <c r="A18" s="62" t="s">
        <v>93</v>
      </c>
      <c r="B18" s="63" t="s">
        <v>94</v>
      </c>
      <c r="C18" s="30" t="n">
        <v>5508361</v>
      </c>
      <c r="D18" s="30" t="n">
        <v>6129833</v>
      </c>
      <c r="E18" s="30" t="n">
        <v>8973711</v>
      </c>
      <c r="F18" s="30" t="n">
        <v>10231452</v>
      </c>
      <c r="G18" s="30" t="n">
        <v>9244464</v>
      </c>
      <c r="H18" s="31" t="n">
        <v>11572409</v>
      </c>
      <c r="I18" s="31" t="n">
        <v>13177672</v>
      </c>
      <c r="J18" s="31" t="n">
        <v>16606830</v>
      </c>
      <c r="K18" s="31" t="n">
        <v>15700072</v>
      </c>
      <c r="L18" s="32" t="n">
        <v>12706296</v>
      </c>
      <c r="M18" s="33" t="n">
        <f aca="false">IFERROR(AVERAGEIF(C18:G18,"&gt;0"),0)</f>
        <v>8017564.2</v>
      </c>
      <c r="N18" s="34" t="n">
        <f aca="false">IFERROR(AVERAGEIF(H18:K18,"&gt;0"),0)</f>
        <v>14264245.75</v>
      </c>
      <c r="O18" s="35" t="n">
        <f aca="false">N18-M18</f>
        <v>6246681.55</v>
      </c>
      <c r="P18" s="36" t="n">
        <f aca="false">IFERROR(N18/M18,"n/a")</f>
        <v>1.77912460619898</v>
      </c>
      <c r="Q18" s="52" t="n">
        <f aca="false">IFERROR(N18/$C$3,0)</f>
        <v>0.0468041443115454</v>
      </c>
      <c r="R18" s="52" t="n">
        <f aca="false">IFERROR(O18/$D$4,0)</f>
        <v>0.0625229443478753</v>
      </c>
      <c r="S18" s="57" t="n">
        <f aca="false">IFERROR((Q18+R18)/2,0)</f>
        <v>0.0546635443297104</v>
      </c>
      <c r="T18" s="64" t="n">
        <v>0.849023608426278</v>
      </c>
      <c r="U18" s="40" t="n">
        <f aca="false">IFERROR(POWER(K18/C18,1/8)-1,"n/a")</f>
        <v>0.139882027409107</v>
      </c>
      <c r="V18" s="40" t="n">
        <f aca="false">IFERROR(POWER(K18/H18,1/3)-1,"n/a")</f>
        <v>0.107029744282438</v>
      </c>
      <c r="W18" s="53" t="n">
        <f aca="false">IFERROR(V18-U18,"n/a")</f>
        <v>-0.0328522831266684</v>
      </c>
      <c r="X18" s="43" t="n">
        <f aca="false">IFERROR(SLOPE(C18:K18,{1,2,3,4,5,6,7,8,9})/AVERAGEIF(C18:K18,"&gt;0"),"n/a")</f>
        <v>0.12653283133908</v>
      </c>
      <c r="Y18" s="43" t="n">
        <f aca="false">IFERROR(SLOPE(H18:K18,{1,2,3,4})/AVERAGEIF(H18:K18,"&gt;0"),"n/a")</f>
        <v>0.110851616532196</v>
      </c>
      <c r="Z18" s="44" t="n">
        <f aca="false">IFERROR(H18/G18,"n/a")</f>
        <v>1.25182044086061</v>
      </c>
      <c r="AA18" s="45" t="n">
        <f aca="false">IFERROR(H18/F18,"n/a")</f>
        <v>1.1310622382825</v>
      </c>
      <c r="AB18" s="45" t="n">
        <v>0.80043725176753</v>
      </c>
      <c r="AC18" s="47" t="s">
        <v>325</v>
      </c>
      <c r="AD18" s="48" t="n">
        <v>0.07</v>
      </c>
      <c r="AE18" s="49" t="s">
        <v>326</v>
      </c>
    </row>
    <row r="19" customFormat="false" ht="16.5" hidden="false" customHeight="true" outlineLevel="0" collapsed="false">
      <c r="A19" s="62" t="s">
        <v>78</v>
      </c>
      <c r="B19" s="63" t="s">
        <v>79</v>
      </c>
      <c r="C19" s="30" t="n">
        <v>15856774</v>
      </c>
      <c r="D19" s="30" t="n">
        <v>18924448</v>
      </c>
      <c r="E19" s="30" t="n">
        <v>20251895</v>
      </c>
      <c r="F19" s="30" t="n">
        <v>21486444</v>
      </c>
      <c r="G19" s="30" t="n">
        <v>29163156</v>
      </c>
      <c r="H19" s="31" t="n">
        <v>27817672</v>
      </c>
      <c r="I19" s="31" t="n">
        <v>19287272</v>
      </c>
      <c r="J19" s="31" t="n">
        <v>20583950</v>
      </c>
      <c r="K19" s="31" t="n">
        <v>28147817</v>
      </c>
      <c r="L19" s="32" t="n">
        <v>19301144</v>
      </c>
      <c r="M19" s="33" t="n">
        <f aca="false">IFERROR(AVERAGEIF(C19:G19,"&gt;0"),0)</f>
        <v>21136543.4</v>
      </c>
      <c r="N19" s="34" t="n">
        <f aca="false">IFERROR(AVERAGEIF(H19:K19,"&gt;0"),0)</f>
        <v>23959177.75</v>
      </c>
      <c r="O19" s="35" t="n">
        <f aca="false">N19-M19</f>
        <v>2822634.35</v>
      </c>
      <c r="P19" s="91" t="n">
        <f aca="false">IFERROR(N19/M19,"n/a")</f>
        <v>1.13354285497789</v>
      </c>
      <c r="Q19" s="52" t="n">
        <f aca="false">IFERROR(N19/$C$3,0)</f>
        <v>0.0786153598760712</v>
      </c>
      <c r="R19" s="52" t="n">
        <f aca="false">IFERROR(O19/$D$4,0)</f>
        <v>0.0282517059604953</v>
      </c>
      <c r="S19" s="57" t="n">
        <f aca="false">IFERROR((Q19+R19)/2,0)</f>
        <v>0.0534335329182833</v>
      </c>
      <c r="T19" s="64" t="n">
        <v>0.903369662787419</v>
      </c>
      <c r="U19" s="40" t="n">
        <f aca="false">IFERROR(POWER(K19/C19,1/8)-1,"n/a")</f>
        <v>0.0743696596668995</v>
      </c>
      <c r="V19" s="70" t="n">
        <f aca="false">IFERROR(POWER(K19/H19,1/3)-1,"n/a")</f>
        <v>0.00394051032346598</v>
      </c>
      <c r="W19" s="53" t="n">
        <f aca="false">IFERROR(V19-U19,"n/a")</f>
        <v>-0.0704291493434335</v>
      </c>
      <c r="X19" s="43" t="n">
        <f aca="false">IFERROR(SLOPE(C19:K19,{1,2,3,4,5,6,7,8,9})/AVERAGEIF(C19:K19,"&gt;0"),"n/a")</f>
        <v>0.0435774311546776</v>
      </c>
      <c r="Y19" s="43" t="n">
        <f aca="false">IFERROR(SLOPE(H19:K19,{1,2,3,4})/AVERAGEIF(H19:K19,"&gt;0"),"n/a")</f>
        <v>0.00954587433619253</v>
      </c>
      <c r="Z19" s="45" t="n">
        <f aca="false">IFERROR(H19/G19,"n/a")</f>
        <v>0.953863566755258</v>
      </c>
      <c r="AA19" s="45" t="n">
        <f aca="false">IFERROR(H19/F19,"n/a")</f>
        <v>1.2946615084376</v>
      </c>
      <c r="AB19" s="56" t="n">
        <v>1.06281799813991</v>
      </c>
      <c r="AC19" s="47" t="s">
        <v>325</v>
      </c>
      <c r="AD19" s="48" t="n">
        <v>0.07</v>
      </c>
      <c r="AE19" s="49" t="s">
        <v>326</v>
      </c>
    </row>
    <row r="20" customFormat="false" ht="16.5" hidden="false" customHeight="true" outlineLevel="0" collapsed="false">
      <c r="A20" s="62" t="s">
        <v>119</v>
      </c>
      <c r="B20" s="63" t="s">
        <v>120</v>
      </c>
      <c r="C20" s="30" t="n">
        <v>1851988</v>
      </c>
      <c r="D20" s="30" t="n">
        <v>1509401</v>
      </c>
      <c r="E20" s="30" t="n">
        <v>1384758</v>
      </c>
      <c r="F20" s="30" t="n">
        <v>1603834</v>
      </c>
      <c r="G20" s="30" t="n">
        <v>3558098</v>
      </c>
      <c r="H20" s="31" t="n">
        <v>6303738</v>
      </c>
      <c r="I20" s="31" t="n">
        <v>8160572</v>
      </c>
      <c r="J20" s="31" t="n">
        <v>5721668</v>
      </c>
      <c r="K20" s="31" t="n">
        <v>4752447</v>
      </c>
      <c r="L20" s="32" t="n">
        <v>5446600</v>
      </c>
      <c r="M20" s="33" t="n">
        <f aca="false">IFERROR(AVERAGEIF(C20:G20,"&gt;0"),0)</f>
        <v>1981615.8</v>
      </c>
      <c r="N20" s="34" t="n">
        <f aca="false">IFERROR(AVERAGEIF(H20:K20,"&gt;0"),0)</f>
        <v>6234606.25</v>
      </c>
      <c r="O20" s="35" t="n">
        <f aca="false">N20-M20</f>
        <v>4252990.45</v>
      </c>
      <c r="P20" s="51" t="n">
        <f aca="false">IFERROR(N20/M20,"n/a")</f>
        <v>3.14622352627588</v>
      </c>
      <c r="Q20" s="52" t="n">
        <f aca="false">IFERROR(N20/$C$3,0)</f>
        <v>0.0204571216568295</v>
      </c>
      <c r="R20" s="52" t="n">
        <f aca="false">IFERROR(O20/$D$4,0)</f>
        <v>0.0425681192628421</v>
      </c>
      <c r="S20" s="57" t="n">
        <f aca="false">IFERROR((Q20+R20)/2,0)</f>
        <v>0.0315126204598358</v>
      </c>
      <c r="T20" s="64" t="n">
        <v>0.935119737635308</v>
      </c>
      <c r="U20" s="40" t="n">
        <f aca="false">IFERROR(POWER(K20/C20,1/8)-1,"n/a")</f>
        <v>0.125019083160058</v>
      </c>
      <c r="V20" s="58" t="n">
        <f aca="false">IFERROR(POWER(K20/H20,1/3)-1,"n/a")</f>
        <v>-0.0898638262307343</v>
      </c>
      <c r="W20" s="53" t="n">
        <f aca="false">IFERROR(V20-U20,"n/a")</f>
        <v>-0.214882909390793</v>
      </c>
      <c r="X20" s="43" t="n">
        <f aca="false">IFERROR(SLOPE(C20:K20,{1,2,3,4,5,6,7,8,9})/AVERAGEIF(C20:K20,"&gt;0"),"n/a")</f>
        <v>0.182902863082047</v>
      </c>
      <c r="Y20" s="59" t="n">
        <f aca="false">IFERROR(SLOPE(H20:K20,{1,2,3,4})/AVERAGEIF(H20:K20,"&gt;0"),"n/a")</f>
        <v>-0.113764634294267</v>
      </c>
      <c r="Z20" s="67" t="n">
        <f aca="false">IFERROR(H20/G20,"n/a")</f>
        <v>1.77165946525363</v>
      </c>
      <c r="AA20" s="55" t="n">
        <f aca="false">IFERROR(H20/F20,"n/a")</f>
        <v>3.93041798590128</v>
      </c>
      <c r="AB20" s="46" t="n">
        <v>0.687252222223336</v>
      </c>
      <c r="AC20" s="47" t="s">
        <v>101</v>
      </c>
      <c r="AD20" s="48" t="n">
        <v>0.0325</v>
      </c>
      <c r="AE20" s="49" t="s">
        <v>102</v>
      </c>
    </row>
    <row r="21" customFormat="false" ht="16.5" hidden="false" customHeight="true" outlineLevel="0" collapsed="false">
      <c r="A21" s="62" t="s">
        <v>249</v>
      </c>
      <c r="B21" s="63" t="s">
        <v>250</v>
      </c>
      <c r="C21" s="30" t="n">
        <v>1735822</v>
      </c>
      <c r="D21" s="30" t="n">
        <v>1809423</v>
      </c>
      <c r="E21" s="30" t="n">
        <v>2107981</v>
      </c>
      <c r="F21" s="30" t="n">
        <v>1886423</v>
      </c>
      <c r="G21" s="30" t="n">
        <v>2062913</v>
      </c>
      <c r="H21" s="31" t="n">
        <v>2233235</v>
      </c>
      <c r="I21" s="31" t="n">
        <v>2211757</v>
      </c>
      <c r="J21" s="31" t="n">
        <v>3990694</v>
      </c>
      <c r="K21" s="31" t="n">
        <v>4423859</v>
      </c>
      <c r="L21" s="32" t="n">
        <v>2417066</v>
      </c>
      <c r="M21" s="33" t="n">
        <f aca="false">IFERROR(AVERAGEIF(C21:G21,"&gt;0"),0)</f>
        <v>1920512.4</v>
      </c>
      <c r="N21" s="34" t="n">
        <f aca="false">IFERROR(AVERAGEIF(H21:K21,"&gt;0"),0)</f>
        <v>3214886.25</v>
      </c>
      <c r="O21" s="35" t="n">
        <f aca="false">N21-M21</f>
        <v>1294373.85</v>
      </c>
      <c r="P21" s="36" t="n">
        <f aca="false">IFERROR(N21/M21,"n/a")</f>
        <v>1.67397318028251</v>
      </c>
      <c r="Q21" s="69" t="n">
        <f aca="false">IFERROR(N21/$C$3,0)</f>
        <v>0.0105487526384073</v>
      </c>
      <c r="R21" s="69" t="n">
        <f aca="false">IFERROR(O21/$D$4,0)</f>
        <v>0.0129553689492776</v>
      </c>
      <c r="S21" s="78" t="n">
        <f aca="false">IFERROR((Q21+R21)/2,0)</f>
        <v>0.0117520607938425</v>
      </c>
      <c r="T21" s="64" t="n">
        <v>0.946994242223762</v>
      </c>
      <c r="U21" s="40" t="n">
        <f aca="false">IFERROR(POWER(K21/C21,1/8)-1,"n/a")</f>
        <v>0.124053574476358</v>
      </c>
      <c r="V21" s="41" t="n">
        <f aca="false">IFERROR(POWER(K21/H21,1/3)-1,"n/a")</f>
        <v>0.255901609256101</v>
      </c>
      <c r="W21" s="42" t="n">
        <f aca="false">IFERROR(V21-U21,"n/a")</f>
        <v>0.131848034779742</v>
      </c>
      <c r="X21" s="43" t="n">
        <f aca="false">IFERROR(SLOPE(C21:K21,{1,2,3,4,5,6,7,8,9})/AVERAGEIF(C21:K21,"&gt;0"),"n/a")</f>
        <v>0.119202920278138</v>
      </c>
      <c r="Y21" s="43" t="n">
        <f aca="false">IFERROR(SLOPE(H21:K21,{1,2,3,4})/AVERAGEIF(H21:K21,"&gt;0"),"n/a")</f>
        <v>0.259754415883299</v>
      </c>
      <c r="Z21" s="44" t="n">
        <f aca="false">IFERROR(H21/G21,"n/a")</f>
        <v>1.08256383085472</v>
      </c>
      <c r="AA21" s="45" t="n">
        <f aca="false">IFERROR(H21/F21,"n/a")</f>
        <v>1.18384635895555</v>
      </c>
      <c r="AB21" s="45" t="n">
        <v>0.886503112409239</v>
      </c>
      <c r="AC21" s="47" t="s">
        <v>76</v>
      </c>
      <c r="AD21" s="48" t="n">
        <v>0.04</v>
      </c>
      <c r="AE21" s="49" t="s">
        <v>77</v>
      </c>
    </row>
    <row r="22" customFormat="false" ht="16.5" hidden="false" customHeight="true" outlineLevel="0" collapsed="false">
      <c r="A22" s="62" t="s">
        <v>107</v>
      </c>
      <c r="B22" s="63" t="s">
        <v>108</v>
      </c>
      <c r="C22" s="30" t="n">
        <v>595793</v>
      </c>
      <c r="D22" s="30" t="n">
        <v>522862</v>
      </c>
      <c r="E22" s="30" t="n">
        <v>45042</v>
      </c>
      <c r="F22" s="30" t="n">
        <v>80849</v>
      </c>
      <c r="G22" s="30" t="n">
        <v>31944</v>
      </c>
      <c r="H22" s="31" t="n">
        <v>219055</v>
      </c>
      <c r="I22" s="31" t="n">
        <v>248017</v>
      </c>
      <c r="J22" s="31" t="n">
        <v>1231120</v>
      </c>
      <c r="K22" s="31" t="n">
        <v>4623880</v>
      </c>
      <c r="L22" s="32" t="n">
        <v>3312987</v>
      </c>
      <c r="M22" s="33" t="n">
        <f aca="false">IFERROR(AVERAGEIF(C22:G22,"&gt;0"),0)</f>
        <v>255298</v>
      </c>
      <c r="N22" s="34" t="n">
        <f aca="false">IFERROR(AVERAGEIF(H22:K22,"&gt;0"),0)</f>
        <v>1580518</v>
      </c>
      <c r="O22" s="35" t="n">
        <f aca="false">N22-M22</f>
        <v>1325220</v>
      </c>
      <c r="P22" s="51" t="n">
        <f aca="false">IFERROR(N22/M22,"n/a")</f>
        <v>6.1908749774773</v>
      </c>
      <c r="Q22" s="69" t="n">
        <f aca="false">IFERROR(N22/$C$3,0)</f>
        <v>0.00518602903059176</v>
      </c>
      <c r="R22" s="69" t="n">
        <f aca="false">IFERROR(O22/$D$4,0)</f>
        <v>0.0132641076138564</v>
      </c>
      <c r="S22" s="78" t="n">
        <f aca="false">IFERROR((Q22+R22)/2,0)</f>
        <v>0.00922506832222408</v>
      </c>
      <c r="T22" s="64" t="n">
        <v>0.956279506959271</v>
      </c>
      <c r="U22" s="41" t="n">
        <f aca="false">IFERROR(POWER(K22/C22,1/8)-1,"n/a")</f>
        <v>0.291929737180865</v>
      </c>
      <c r="V22" s="41" t="n">
        <f aca="false">IFERROR(POWER(K22/H22,1/3)-1,"n/a")</f>
        <v>1.76365903639823</v>
      </c>
      <c r="W22" s="42" t="n">
        <f aca="false">IFERROR(V22-U22,"n/a")</f>
        <v>1.47172929921737</v>
      </c>
      <c r="X22" s="43" t="n">
        <f aca="false">IFERROR(SLOPE(C22:K22,{1,2,3,4,5,6,7,8,9})/AVERAGEIF(C22:K22,"&gt;0"),"n/a")</f>
        <v>0.370753268842184</v>
      </c>
      <c r="Y22" s="43" t="n">
        <f aca="false">IFERROR(SLOPE(H22:K22,{1,2,3,4})/AVERAGEIF(H22:K22,"&gt;0"),"n/a")</f>
        <v>0.898286384590369</v>
      </c>
      <c r="Z22" s="54" t="n">
        <f aca="false">IFERROR(H22/G22,"n/a")</f>
        <v>6.8574693213123</v>
      </c>
      <c r="AA22" s="67" t="n">
        <f aca="false">IFERROR(H22/F22,"n/a")</f>
        <v>2.7094336355428</v>
      </c>
      <c r="AB22" s="56" t="n">
        <v>2.2324927650302</v>
      </c>
      <c r="AC22" s="47" t="s">
        <v>97</v>
      </c>
      <c r="AD22" s="48" t="n">
        <v>0.035</v>
      </c>
      <c r="AE22" s="49" t="s">
        <v>98</v>
      </c>
    </row>
    <row r="23" customFormat="false" ht="16.5" hidden="false" customHeight="true" outlineLevel="0" collapsed="false">
      <c r="A23" s="62" t="s">
        <v>186</v>
      </c>
      <c r="B23" s="63" t="s">
        <v>187</v>
      </c>
      <c r="C23" s="30" t="n">
        <v>712376</v>
      </c>
      <c r="D23" s="30" t="n">
        <v>692574</v>
      </c>
      <c r="E23" s="30" t="n">
        <v>650172</v>
      </c>
      <c r="F23" s="30" t="n">
        <v>787432</v>
      </c>
      <c r="G23" s="30" t="n">
        <v>1184679</v>
      </c>
      <c r="H23" s="31" t="n">
        <v>1769446</v>
      </c>
      <c r="I23" s="31" t="n">
        <v>1766117</v>
      </c>
      <c r="J23" s="31" t="n">
        <v>1690528</v>
      </c>
      <c r="K23" s="31" t="n">
        <v>2158841</v>
      </c>
      <c r="L23" s="32" t="n">
        <v>2777053</v>
      </c>
      <c r="M23" s="33" t="n">
        <f aca="false">IFERROR(AVERAGEIF(C23:G23,"&gt;0"),0)</f>
        <v>805446.6</v>
      </c>
      <c r="N23" s="34" t="n">
        <f aca="false">IFERROR(AVERAGEIF(H23:K23,"&gt;0"),0)</f>
        <v>1846233</v>
      </c>
      <c r="O23" s="35" t="n">
        <f aca="false">N23-M23</f>
        <v>1040786.4</v>
      </c>
      <c r="P23" s="51" t="n">
        <f aca="false">IFERROR(N23/M23,"n/a")</f>
        <v>2.29218547821792</v>
      </c>
      <c r="Q23" s="69" t="n">
        <f aca="false">IFERROR(N23/$C$3,0)</f>
        <v>0.00605789869855106</v>
      </c>
      <c r="R23" s="69" t="n">
        <f aca="false">IFERROR(O23/$D$4,0)</f>
        <v>0.0104172158680356</v>
      </c>
      <c r="S23" s="78" t="n">
        <f aca="false">IFERROR((Q23+R23)/2,0)</f>
        <v>0.00823755728329335</v>
      </c>
      <c r="T23" s="64" t="n">
        <v>0.964587380812632</v>
      </c>
      <c r="U23" s="40" t="n">
        <f aca="false">IFERROR(POWER(K23/C23,1/8)-1,"n/a")</f>
        <v>0.148653187887111</v>
      </c>
      <c r="V23" s="40" t="n">
        <f aca="false">IFERROR(POWER(K23/H23,1/3)-1,"n/a")</f>
        <v>0.0685490143022332</v>
      </c>
      <c r="W23" s="53" t="n">
        <f aca="false">IFERROR(V23-U23,"n/a")</f>
        <v>-0.0801041735848782</v>
      </c>
      <c r="X23" s="43" t="n">
        <f aca="false">IFERROR(SLOPE(C23:K23,{1,2,3,4,5,6,7,8,9})/AVERAGEIF(C23:K23,"&gt;0"),"n/a")</f>
        <v>0.15764264712261</v>
      </c>
      <c r="Y23" s="43" t="n">
        <f aca="false">IFERROR(SLOPE(H23:K23,{1,2,3,4})/AVERAGEIF(H23:K23,"&gt;0"),"n/a")</f>
        <v>0.0591797460017235</v>
      </c>
      <c r="Z23" s="44" t="n">
        <f aca="false">IFERROR(H23/G23,"n/a")</f>
        <v>1.49360797313027</v>
      </c>
      <c r="AA23" s="67" t="n">
        <f aca="false">IFERROR(H23/F23,"n/a")</f>
        <v>2.24710959168538</v>
      </c>
      <c r="AB23" s="56" t="n">
        <v>1.57144719364602</v>
      </c>
      <c r="AC23" s="47" t="s">
        <v>328</v>
      </c>
      <c r="AD23" s="48" t="n">
        <v>0.0235</v>
      </c>
      <c r="AE23" s="49" t="s">
        <v>329</v>
      </c>
    </row>
    <row r="25" customFormat="false" ht="21.75" hidden="false" customHeight="true" outlineLevel="0" collapsed="false">
      <c r="A25" s="81" t="s">
        <v>330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</row>
    <row r="26" customFormat="false" ht="15" hidden="false" customHeight="true" outlineLevel="0" collapsed="false">
      <c r="A26" s="82" t="s">
        <v>114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</row>
    <row r="27" customFormat="false" ht="16.5" hidden="false" customHeight="true" outlineLevel="0" collapsed="false">
      <c r="A27" s="83" t="s">
        <v>303</v>
      </c>
      <c r="B27" s="84" t="s">
        <v>304</v>
      </c>
      <c r="C27" s="30" t="n">
        <v>4290851</v>
      </c>
      <c r="D27" s="30" t="n">
        <v>5003747</v>
      </c>
      <c r="E27" s="30" t="n">
        <v>3429963</v>
      </c>
      <c r="F27" s="30" t="n">
        <v>3701686</v>
      </c>
      <c r="G27" s="30" t="n">
        <v>2993574</v>
      </c>
      <c r="H27" s="31" t="n">
        <v>2177303</v>
      </c>
      <c r="I27" s="31" t="n">
        <v>994204</v>
      </c>
      <c r="J27" s="31" t="n">
        <v>2503517</v>
      </c>
      <c r="K27" s="31" t="n">
        <v>2073799</v>
      </c>
      <c r="L27" s="32" t="n">
        <v>2336139</v>
      </c>
      <c r="M27" s="33" t="n">
        <f aca="false">IFERROR(AVERAGEIF(C27:G27,"&gt;0"),0)</f>
        <v>3883964.2</v>
      </c>
      <c r="N27" s="34" t="n">
        <f aca="false">IFERROR(AVERAGEIF(H27:K27,"&gt;0"),0)</f>
        <v>1937205.75</v>
      </c>
      <c r="O27" s="76" t="n">
        <f aca="false">N27-M27</f>
        <v>-1946758.45</v>
      </c>
      <c r="P27" s="77" t="n">
        <f aca="false">IFERROR(N27/M27,"n/a")</f>
        <v>0.49877023840745</v>
      </c>
      <c r="Q27" s="69" t="n">
        <f aca="false">IFERROR(N27/$C$3,0)</f>
        <v>0.00635640040653083</v>
      </c>
      <c r="R27" s="69" t="n">
        <f aca="false">IFERROR(O27/$D$4,0)</f>
        <v>-0.019485076877035</v>
      </c>
      <c r="S27" s="78" t="n">
        <f aca="false">IFERROR((Q27+R27)/2,0)</f>
        <v>-0.00656433823525207</v>
      </c>
      <c r="T27" s="79"/>
      <c r="U27" s="58" t="n">
        <f aca="false">IFERROR(POWER(K27/C27,1/8)-1,"n/a")</f>
        <v>-0.0868798987670192</v>
      </c>
      <c r="V27" s="58" t="n">
        <f aca="false">IFERROR(POWER(K27/H27,1/3)-1,"n/a")</f>
        <v>-0.0161038452907646</v>
      </c>
      <c r="W27" s="71" t="n">
        <f aca="false">IFERROR(V27-U27,"n/a")</f>
        <v>0.0707760534762546</v>
      </c>
      <c r="X27" s="59" t="n">
        <f aca="false">IFERROR(SLOPE(C27:K27,{1,2,3,4,5,6,7,8,9})/AVERAGEIF(C27:K27,"&gt;0"),"n/a")</f>
        <v>-0.125686061107798</v>
      </c>
      <c r="Y27" s="43" t="n">
        <f aca="false">IFERROR(SLOPE(H27:K27,{1,2,3,4})/AVERAGEIF(H27:K27,"&gt;0"),"n/a")</f>
        <v>0.0618829982308281</v>
      </c>
      <c r="Z27" s="45" t="n">
        <f aca="false">IFERROR(H27/G27,"n/a")</f>
        <v>0.727325598097792</v>
      </c>
      <c r="AA27" s="45" t="n">
        <f aca="false">IFERROR(H27/F27,"n/a")</f>
        <v>0.588192245371433</v>
      </c>
      <c r="AB27" s="56" t="n">
        <v>1.12555829446614</v>
      </c>
      <c r="AC27" s="47" t="s">
        <v>125</v>
      </c>
      <c r="AD27" s="48" t="n">
        <v>0.06</v>
      </c>
      <c r="AE27" s="49" t="s">
        <v>126</v>
      </c>
    </row>
    <row r="28" customFormat="false" ht="16.5" hidden="false" customHeight="true" outlineLevel="0" collapsed="false">
      <c r="A28" s="83" t="s">
        <v>232</v>
      </c>
      <c r="B28" s="84" t="s">
        <v>233</v>
      </c>
      <c r="C28" s="30" t="n">
        <v>1035088</v>
      </c>
      <c r="D28" s="30" t="n">
        <v>1452098</v>
      </c>
      <c r="E28" s="30" t="n">
        <v>1733115</v>
      </c>
      <c r="F28" s="30" t="n">
        <v>2367644</v>
      </c>
      <c r="G28" s="30" t="n">
        <v>1496903</v>
      </c>
      <c r="H28" s="31" t="n">
        <v>1380697</v>
      </c>
      <c r="I28" s="31" t="n">
        <v>1352458</v>
      </c>
      <c r="J28" s="31" t="n">
        <v>1721861</v>
      </c>
      <c r="K28" s="31" t="n">
        <v>1612510</v>
      </c>
      <c r="L28" s="32" t="n">
        <v>1155260</v>
      </c>
      <c r="M28" s="33" t="n">
        <f aca="false">IFERROR(AVERAGEIF(C28:G28,"&gt;0"),0)</f>
        <v>1616969.6</v>
      </c>
      <c r="N28" s="34" t="n">
        <f aca="false">IFERROR(AVERAGEIF(H28:K28,"&gt;0"),0)</f>
        <v>1516881.5</v>
      </c>
      <c r="O28" s="76" t="n">
        <f aca="false">N28-M28</f>
        <v>-100088.1</v>
      </c>
      <c r="P28" s="77" t="n">
        <f aca="false">IFERROR(N28/M28,"n/a")</f>
        <v>0.938101433694239</v>
      </c>
      <c r="Q28" s="69" t="n">
        <f aca="false">IFERROR(N28/$C$3,0)</f>
        <v>0.00497722360325386</v>
      </c>
      <c r="R28" s="69" t="n">
        <f aca="false">IFERROR(O28/$D$4,0)</f>
        <v>-0.00100178033025945</v>
      </c>
      <c r="S28" s="78" t="n">
        <f aca="false">IFERROR((Q28+R28)/2,0)</f>
        <v>0.00198772163649721</v>
      </c>
      <c r="T28" s="79"/>
      <c r="U28" s="40" t="n">
        <f aca="false">IFERROR(POWER(K28/C28,1/8)-1,"n/a")</f>
        <v>0.0569772574173444</v>
      </c>
      <c r="V28" s="40" t="n">
        <f aca="false">IFERROR(POWER(K28/H28,1/3)-1,"n/a")</f>
        <v>0.0530961178870433</v>
      </c>
      <c r="W28" s="53" t="n">
        <f aca="false">IFERROR(V28-U28,"n/a")</f>
        <v>-0.00388113953030111</v>
      </c>
      <c r="X28" s="43" t="n">
        <f aca="false">IFERROR(SLOPE(C28:K28,{1,2,3,4,5,6,7,8,9})/AVERAGEIF(C28:K28,"&gt;0"),"n/a")</f>
        <v>0.014528120865093</v>
      </c>
      <c r="Y28" s="43" t="n">
        <f aca="false">IFERROR(SLOPE(H28:K28,{1,2,3,4})/AVERAGEIF(H28:K28,"&gt;0"),"n/a")</f>
        <v>0.0701994190053739</v>
      </c>
      <c r="Z28" s="45" t="n">
        <f aca="false">IFERROR(H28/G28,"n/a")</f>
        <v>0.922369051301253</v>
      </c>
      <c r="AA28" s="45" t="n">
        <f aca="false">IFERROR(H28/F28,"n/a")</f>
        <v>0.583152281339593</v>
      </c>
      <c r="AB28" s="45" t="n">
        <v>0.82252744638699</v>
      </c>
      <c r="AC28" s="47" t="s">
        <v>331</v>
      </c>
      <c r="AD28" s="48" t="n">
        <v>0.0385</v>
      </c>
      <c r="AE28" s="49" t="s">
        <v>332</v>
      </c>
    </row>
    <row r="29" customFormat="false" ht="16.5" hidden="false" customHeight="true" outlineLevel="0" collapsed="false">
      <c r="A29" s="83" t="s">
        <v>240</v>
      </c>
      <c r="B29" s="84" t="s">
        <v>241</v>
      </c>
      <c r="C29" s="30" t="n">
        <v>2342771</v>
      </c>
      <c r="D29" s="30" t="n">
        <v>1508514</v>
      </c>
      <c r="E29" s="30" t="n">
        <v>2099313</v>
      </c>
      <c r="F29" s="30" t="n">
        <v>1642010</v>
      </c>
      <c r="G29" s="30" t="n">
        <v>1747687</v>
      </c>
      <c r="H29" s="31" t="n">
        <v>1241941</v>
      </c>
      <c r="I29" s="31" t="n">
        <v>1052186</v>
      </c>
      <c r="J29" s="31" t="n">
        <v>1162732</v>
      </c>
      <c r="K29" s="31" t="n">
        <v>1562164</v>
      </c>
      <c r="L29" s="32" t="n">
        <v>1644254</v>
      </c>
      <c r="M29" s="33" t="n">
        <f aca="false">IFERROR(AVERAGEIF(C29:G29,"&gt;0"),0)</f>
        <v>1868059</v>
      </c>
      <c r="N29" s="34" t="n">
        <f aca="false">IFERROR(AVERAGEIF(H29:K29,"&gt;0"),0)</f>
        <v>1254755.75</v>
      </c>
      <c r="O29" s="76" t="n">
        <f aca="false">N29-M29</f>
        <v>-613303.25</v>
      </c>
      <c r="P29" s="77" t="n">
        <f aca="false">IFERROR(N29/M29,"n/a")</f>
        <v>0.671689571903243</v>
      </c>
      <c r="Q29" s="69" t="n">
        <f aca="false">IFERROR(N29/$C$3,0)</f>
        <v>0.0041171310581733</v>
      </c>
      <c r="R29" s="69" t="n">
        <f aca="false">IFERROR(O29/$D$4,0)</f>
        <v>-0.00613854326672392</v>
      </c>
      <c r="S29" s="78" t="n">
        <f aca="false">IFERROR((Q29+R29)/2,0)</f>
        <v>-0.00101070610427531</v>
      </c>
      <c r="T29" s="79"/>
      <c r="U29" s="58" t="n">
        <f aca="false">IFERROR(POWER(K29/C29,1/8)-1,"n/a")</f>
        <v>-0.0493960857638752</v>
      </c>
      <c r="V29" s="40" t="n">
        <f aca="false">IFERROR(POWER(K29/H29,1/3)-1,"n/a")</f>
        <v>0.0794649701559849</v>
      </c>
      <c r="W29" s="42" t="n">
        <f aca="false">IFERROR(V29-U29,"n/a")</f>
        <v>0.12886105591986</v>
      </c>
      <c r="X29" s="59" t="n">
        <f aca="false">IFERROR(SLOPE(C29:K29,{1,2,3,4,5,6,7,8,9})/AVERAGEIF(C29:K29,"&gt;0"),"n/a")</f>
        <v>-0.0695098854973474</v>
      </c>
      <c r="Y29" s="43" t="n">
        <f aca="false">IFERROR(SLOPE(H29:K29,{1,2,3,4})/AVERAGEIF(H29:K29,"&gt;0"),"n/a")</f>
        <v>0.0853723921966486</v>
      </c>
      <c r="Z29" s="45" t="n">
        <f aca="false">IFERROR(H29/G29,"n/a")</f>
        <v>0.710619807780226</v>
      </c>
      <c r="AA29" s="45" t="n">
        <f aca="false">IFERROR(H29/F29,"n/a")</f>
        <v>0.756354102593772</v>
      </c>
      <c r="AB29" s="56" t="n">
        <v>1.87601371820771</v>
      </c>
      <c r="AC29" s="47" t="s">
        <v>333</v>
      </c>
      <c r="AD29" s="48" t="n">
        <v>0.02</v>
      </c>
      <c r="AE29" s="49" t="s">
        <v>334</v>
      </c>
    </row>
    <row r="30" customFormat="false" ht="16.5" hidden="false" customHeight="true" outlineLevel="0" collapsed="false">
      <c r="A30" s="83" t="s">
        <v>257</v>
      </c>
      <c r="B30" s="84" t="s">
        <v>258</v>
      </c>
      <c r="C30" s="30" t="n">
        <v>779452</v>
      </c>
      <c r="D30" s="30" t="n">
        <v>1021407</v>
      </c>
      <c r="E30" s="30" t="n">
        <v>961835</v>
      </c>
      <c r="F30" s="30" t="n">
        <v>1315897</v>
      </c>
      <c r="G30" s="30" t="n">
        <v>1062092</v>
      </c>
      <c r="H30" s="31" t="n">
        <v>993441</v>
      </c>
      <c r="I30" s="31" t="n">
        <v>546426</v>
      </c>
      <c r="J30" s="31" t="n">
        <v>245550</v>
      </c>
      <c r="K30" s="31" t="n">
        <v>213890</v>
      </c>
      <c r="L30" s="32" t="n">
        <v>318979</v>
      </c>
      <c r="M30" s="33" t="n">
        <f aca="false">IFERROR(AVERAGEIF(C30:G30,"&gt;0"),0)</f>
        <v>1028136.6</v>
      </c>
      <c r="N30" s="34" t="n">
        <f aca="false">IFERROR(AVERAGEIF(H30:K30,"&gt;0"),0)</f>
        <v>499826.75</v>
      </c>
      <c r="O30" s="76" t="n">
        <f aca="false">N30-M30</f>
        <v>-528309.85</v>
      </c>
      <c r="P30" s="77" t="n">
        <f aca="false">IFERROR(N30/M30,"n/a")</f>
        <v>0.4861481927596</v>
      </c>
      <c r="Q30" s="69" t="n">
        <f aca="false">IFERROR(N30/$C$3,0)</f>
        <v>0.00164004208478887</v>
      </c>
      <c r="R30" s="69" t="n">
        <f aca="false">IFERROR(O30/$D$4,0)</f>
        <v>-0.00528784556817761</v>
      </c>
      <c r="S30" s="78" t="n">
        <f aca="false">IFERROR((Q30+R30)/2,0)</f>
        <v>-0.00182390174169437</v>
      </c>
      <c r="T30" s="79"/>
      <c r="U30" s="58" t="n">
        <f aca="false">IFERROR(POWER(K30/C30,1/8)-1,"n/a")</f>
        <v>-0.1492535646011</v>
      </c>
      <c r="V30" s="58" t="n">
        <f aca="false">IFERROR(POWER(K30/H30,1/3)-1,"n/a")</f>
        <v>-0.400646838830957</v>
      </c>
      <c r="W30" s="53" t="n">
        <f aca="false">IFERROR(V30-U30,"n/a")</f>
        <v>-0.251393274229857</v>
      </c>
      <c r="X30" s="59" t="n">
        <f aca="false">IFERROR(SLOPE(C30:K30,{1,2,3,4,5,6,7,8,9})/AVERAGEIF(C30:K30,"&gt;0"),"n/a")</f>
        <v>-0.120653383268044</v>
      </c>
      <c r="Y30" s="59" t="n">
        <f aca="false">IFERROR(SLOPE(H30:K30,{1,2,3,4})/AVERAGEIF(H30:K30,"&gt;0"),"n/a")</f>
        <v>-0.528088782763228</v>
      </c>
      <c r="Z30" s="45" t="n">
        <f aca="false">IFERROR(H30/G30,"n/a")</f>
        <v>0.935362473307397</v>
      </c>
      <c r="AA30" s="45" t="n">
        <f aca="false">IFERROR(H30/F30,"n/a")</f>
        <v>0.754953465202824</v>
      </c>
      <c r="AB30" s="56" t="n">
        <v>1.89851250124835</v>
      </c>
      <c r="AC30" s="47" t="s">
        <v>131</v>
      </c>
      <c r="AD30" s="48" t="n">
        <v>0.03</v>
      </c>
      <c r="AE30" s="49" t="s">
        <v>132</v>
      </c>
    </row>
    <row r="31" customFormat="false" ht="16.5" hidden="false" customHeight="true" outlineLevel="0" collapsed="false">
      <c r="A31" s="83" t="s">
        <v>305</v>
      </c>
      <c r="B31" s="84" t="s">
        <v>306</v>
      </c>
      <c r="C31" s="30" t="n">
        <v>500639</v>
      </c>
      <c r="D31" s="30" t="n">
        <v>549187</v>
      </c>
      <c r="E31" s="30" t="n">
        <v>515685</v>
      </c>
      <c r="F31" s="30" t="n">
        <v>459590</v>
      </c>
      <c r="G31" s="30" t="n">
        <v>263888</v>
      </c>
      <c r="H31" s="31" t="n">
        <v>303625</v>
      </c>
      <c r="I31" s="31" t="n">
        <v>406719</v>
      </c>
      <c r="J31" s="31" t="n">
        <v>454755</v>
      </c>
      <c r="K31" s="31" t="n">
        <v>589747</v>
      </c>
      <c r="L31" s="32" t="n">
        <v>598855</v>
      </c>
      <c r="M31" s="33" t="n">
        <f aca="false">IFERROR(AVERAGEIF(C31:G31,"&gt;0"),0)</f>
        <v>457797.8</v>
      </c>
      <c r="N31" s="34" t="n">
        <f aca="false">IFERROR(AVERAGEIF(H31:K31,"&gt;0"),0)</f>
        <v>438711.5</v>
      </c>
      <c r="O31" s="76" t="n">
        <f aca="false">N31-M31</f>
        <v>-19086.3</v>
      </c>
      <c r="P31" s="77" t="n">
        <f aca="false">IFERROR(N31/M31,"n/a")</f>
        <v>0.958308449712952</v>
      </c>
      <c r="Q31" s="69" t="n">
        <f aca="false">IFERROR(N31/$C$3,0)</f>
        <v>0.00143950943618134</v>
      </c>
      <c r="R31" s="69" t="n">
        <f aca="false">IFERROR(O31/$D$4,0)</f>
        <v>-0.000191034497781762</v>
      </c>
      <c r="S31" s="78" t="n">
        <f aca="false">IFERROR((Q31+R31)/2,0)</f>
        <v>0.000624237469199788</v>
      </c>
      <c r="T31" s="79"/>
      <c r="U31" s="70" t="n">
        <f aca="false">IFERROR(POWER(K31/C31,1/8)-1,"n/a")</f>
        <v>0.0206871159740187</v>
      </c>
      <c r="V31" s="41" t="n">
        <f aca="false">IFERROR(POWER(K31/H31,1/3)-1,"n/a")</f>
        <v>0.247697785229145</v>
      </c>
      <c r="W31" s="42" t="n">
        <f aca="false">IFERROR(V31-U31,"n/a")</f>
        <v>0.227010669255126</v>
      </c>
      <c r="X31" s="59" t="n">
        <f aca="false">IFERROR(SLOPE(C31:K31,{1,2,3,4,5,6,7,8,9})/AVERAGEIF(C31:K31,"&gt;0"),"n/a")</f>
        <v>-0.0111562786315465</v>
      </c>
      <c r="Y31" s="43" t="n">
        <f aca="false">IFERROR(SLOPE(H31:K31,{1,2,3,4})/AVERAGEIF(H31:K31,"&gt;0"),"n/a")</f>
        <v>0.206605479911058</v>
      </c>
      <c r="Z31" s="44" t="n">
        <f aca="false">IFERROR(H31/G31,"n/a")</f>
        <v>1.15058282301582</v>
      </c>
      <c r="AA31" s="45" t="n">
        <f aca="false">IFERROR(H31/F31,"n/a")</f>
        <v>0.660643181966535</v>
      </c>
      <c r="AB31" s="56" t="n">
        <v>1.08948059639801</v>
      </c>
      <c r="AC31" s="47" t="s">
        <v>125</v>
      </c>
      <c r="AD31" s="48" t="n">
        <v>0.06</v>
      </c>
      <c r="AE31" s="49" t="s">
        <v>126</v>
      </c>
    </row>
    <row r="32" customFormat="false" ht="16.5" hidden="false" customHeight="true" outlineLevel="0" collapsed="false">
      <c r="A32" s="83" t="s">
        <v>133</v>
      </c>
      <c r="B32" s="84" t="s">
        <v>134</v>
      </c>
      <c r="C32" s="30" t="n">
        <v>142267</v>
      </c>
      <c r="D32" s="30" t="n">
        <v>651249</v>
      </c>
      <c r="E32" s="30" t="n">
        <v>783397</v>
      </c>
      <c r="F32" s="30" t="n">
        <v>267611</v>
      </c>
      <c r="G32" s="30" t="n">
        <v>222465</v>
      </c>
      <c r="H32" s="31" t="n">
        <v>271313</v>
      </c>
      <c r="I32" s="31" t="n">
        <v>228740</v>
      </c>
      <c r="J32" s="31" t="n">
        <v>255352</v>
      </c>
      <c r="K32" s="31" t="n">
        <v>421230</v>
      </c>
      <c r="L32" s="32" t="n">
        <v>436813</v>
      </c>
      <c r="M32" s="33" t="n">
        <f aca="false">IFERROR(AVERAGEIF(C32:G32,"&gt;0"),0)</f>
        <v>413397.8</v>
      </c>
      <c r="N32" s="34" t="n">
        <f aca="false">IFERROR(AVERAGEIF(H32:K32,"&gt;0"),0)</f>
        <v>294158.75</v>
      </c>
      <c r="O32" s="76" t="n">
        <f aca="false">N32-M32</f>
        <v>-119239.05</v>
      </c>
      <c r="P32" s="77" t="n">
        <f aca="false">IFERROR(N32/M32,"n/a")</f>
        <v>0.71156341422233</v>
      </c>
      <c r="Q32" s="69" t="n">
        <f aca="false">IFERROR(N32/$C$3,0)</f>
        <v>0.000965199900983465</v>
      </c>
      <c r="R32" s="69" t="n">
        <f aca="false">IFERROR(O32/$D$4,0)</f>
        <v>-0.00119346190894644</v>
      </c>
      <c r="S32" s="78" t="n">
        <f aca="false">IFERROR((Q32+R32)/2,0)</f>
        <v>-0.000114131003981488</v>
      </c>
      <c r="T32" s="79"/>
      <c r="U32" s="40" t="n">
        <f aca="false">IFERROR(POWER(K32/C32,1/8)-1,"n/a")</f>
        <v>0.145320119897734</v>
      </c>
      <c r="V32" s="40" t="n">
        <f aca="false">IFERROR(POWER(K32/H32,1/3)-1,"n/a")</f>
        <v>0.157931575566473</v>
      </c>
      <c r="W32" s="71" t="n">
        <f aca="false">IFERROR(V32-U32,"n/a")</f>
        <v>0.0126114556687391</v>
      </c>
      <c r="X32" s="59" t="n">
        <f aca="false">IFERROR(SLOPE(C32:K32,{1,2,3,4,5,6,7,8,9})/AVERAGEIF(C32:K32,"&gt;0"),"n/a")</f>
        <v>-0.0544507162359139</v>
      </c>
      <c r="Y32" s="43" t="n">
        <f aca="false">IFERROR(SLOPE(H32:K32,{1,2,3,4})/AVERAGEIF(H32:K32,"&gt;0"),"n/a")</f>
        <v>0.161940788774769</v>
      </c>
      <c r="Z32" s="44" t="n">
        <f aca="false">IFERROR(H32/G32,"n/a")</f>
        <v>1.21957611309644</v>
      </c>
      <c r="AA32" s="45" t="n">
        <f aca="false">IFERROR(H32/F32,"n/a")</f>
        <v>1.01383351207536</v>
      </c>
      <c r="AB32" s="56" t="n">
        <v>2.2543167592329</v>
      </c>
      <c r="AC32" s="47" t="s">
        <v>164</v>
      </c>
      <c r="AD32" s="48" t="n">
        <v>0.1</v>
      </c>
      <c r="AE32" s="66" t="s">
        <v>165</v>
      </c>
    </row>
    <row r="33" customFormat="false" ht="16.5" hidden="false" customHeight="true" outlineLevel="0" collapsed="false">
      <c r="A33" s="83" t="s">
        <v>236</v>
      </c>
      <c r="B33" s="84" t="s">
        <v>237</v>
      </c>
      <c r="C33" s="30" t="n">
        <v>249631</v>
      </c>
      <c r="D33" s="30" t="n">
        <v>256906</v>
      </c>
      <c r="E33" s="30" t="n">
        <v>329896</v>
      </c>
      <c r="F33" s="30" t="n">
        <v>320196</v>
      </c>
      <c r="G33" s="30" t="n">
        <v>182696</v>
      </c>
      <c r="H33" s="31" t="n">
        <v>132008</v>
      </c>
      <c r="I33" s="31" t="n">
        <v>192007</v>
      </c>
      <c r="J33" s="31" t="n">
        <v>213551</v>
      </c>
      <c r="K33" s="31" t="n">
        <v>431992</v>
      </c>
      <c r="L33" s="32" t="n">
        <v>162122</v>
      </c>
      <c r="M33" s="33" t="n">
        <f aca="false">IFERROR(AVERAGEIF(C33:G33,"&gt;0"),0)</f>
        <v>267865</v>
      </c>
      <c r="N33" s="34" t="n">
        <f aca="false">IFERROR(AVERAGEIF(H33:K33,"&gt;0"),0)</f>
        <v>242389.5</v>
      </c>
      <c r="O33" s="76" t="n">
        <f aca="false">N33-M33</f>
        <v>-25475.5</v>
      </c>
      <c r="P33" s="77" t="n">
        <f aca="false">IFERROR(N33/M33,"n/a")</f>
        <v>0.904894256435145</v>
      </c>
      <c r="Q33" s="69" t="n">
        <f aca="false">IFERROR(N33/$C$3,0)</f>
        <v>0.000795333544895169</v>
      </c>
      <c r="R33" s="69" t="n">
        <f aca="false">IFERROR(O33/$D$4,0)</f>
        <v>-0.00025498390721299</v>
      </c>
      <c r="S33" s="78" t="n">
        <f aca="false">IFERROR((Q33+R33)/2,0)</f>
        <v>0.000270174818841089</v>
      </c>
      <c r="T33" s="79"/>
      <c r="U33" s="40" t="n">
        <f aca="false">IFERROR(POWER(K33/C33,1/8)-1,"n/a")</f>
        <v>0.0709572827220857</v>
      </c>
      <c r="V33" s="41" t="n">
        <f aca="false">IFERROR(POWER(K33/H33,1/3)-1,"n/a")</f>
        <v>0.484653652255679</v>
      </c>
      <c r="W33" s="42" t="n">
        <f aca="false">IFERROR(V33-U33,"n/a")</f>
        <v>0.413696369533593</v>
      </c>
      <c r="X33" s="43" t="n">
        <f aca="false">IFERROR(SLOPE(C33:K33,{1,2,3,4,5,6,7,8,9})/AVERAGEIF(C33:K33,"&gt;0"),"n/a")</f>
        <v>0.00879730588340769</v>
      </c>
      <c r="Y33" s="43" t="n">
        <f aca="false">IFERROR(SLOPE(H33:K33,{1,2,3,4})/AVERAGEIF(H33:K33,"&gt;0"),"n/a")</f>
        <v>0.380171583340037</v>
      </c>
      <c r="Z33" s="45" t="n">
        <f aca="false">IFERROR(H33/G33,"n/a")</f>
        <v>0.722555502036169</v>
      </c>
      <c r="AA33" s="45" t="n">
        <f aca="false">IFERROR(H33/F33,"n/a")</f>
        <v>0.412272483104099</v>
      </c>
      <c r="AB33" s="56" t="n">
        <v>1.05526435757325</v>
      </c>
      <c r="AC33" s="47" t="s">
        <v>333</v>
      </c>
      <c r="AD33" s="48" t="n">
        <v>0.02</v>
      </c>
      <c r="AE33" s="49" t="s">
        <v>334</v>
      </c>
    </row>
    <row r="34" customFormat="false" ht="16.5" hidden="false" customHeight="true" outlineLevel="0" collapsed="false">
      <c r="A34" s="83" t="s">
        <v>230</v>
      </c>
      <c r="B34" s="84" t="s">
        <v>231</v>
      </c>
      <c r="C34" s="30" t="n">
        <v>185546</v>
      </c>
      <c r="D34" s="30" t="n">
        <v>183904</v>
      </c>
      <c r="E34" s="30" t="n">
        <v>310737</v>
      </c>
      <c r="F34" s="30" t="n">
        <v>156466</v>
      </c>
      <c r="G34" s="30" t="n">
        <v>225419</v>
      </c>
      <c r="H34" s="31" t="n">
        <v>217722</v>
      </c>
      <c r="I34" s="31" t="n">
        <v>224476</v>
      </c>
      <c r="J34" s="31" t="n">
        <v>202424</v>
      </c>
      <c r="K34" s="31" t="n">
        <v>88640</v>
      </c>
      <c r="L34" s="32" t="n">
        <v>67965</v>
      </c>
      <c r="M34" s="33" t="n">
        <f aca="false">IFERROR(AVERAGEIF(C34:G34,"&gt;0"),0)</f>
        <v>212414.4</v>
      </c>
      <c r="N34" s="34" t="n">
        <f aca="false">IFERROR(AVERAGEIF(H34:K34,"&gt;0"),0)</f>
        <v>183315.5</v>
      </c>
      <c r="O34" s="76" t="n">
        <f aca="false">N34-M34</f>
        <v>-29098.9</v>
      </c>
      <c r="P34" s="77" t="n">
        <f aca="false">IFERROR(N34/M34,"n/a")</f>
        <v>0.863008816728056</v>
      </c>
      <c r="Q34" s="69" t="n">
        <f aca="false">IFERROR(N34/$C$3,0)</f>
        <v>0.000601498688883926</v>
      </c>
      <c r="R34" s="69" t="n">
        <f aca="false">IFERROR(O34/$D$4,0)</f>
        <v>-0.000291250464862322</v>
      </c>
      <c r="S34" s="78" t="n">
        <f aca="false">IFERROR((Q34+R34)/2,0)</f>
        <v>0.000155124112010802</v>
      </c>
      <c r="T34" s="79"/>
      <c r="U34" s="58" t="n">
        <f aca="false">IFERROR(POWER(K34/C34,1/8)-1,"n/a")</f>
        <v>-0.0882048686708943</v>
      </c>
      <c r="V34" s="58" t="n">
        <f aca="false">IFERROR(POWER(K34/H34,1/3)-1,"n/a")</f>
        <v>-0.258844827142478</v>
      </c>
      <c r="W34" s="53" t="n">
        <f aca="false">IFERROR(V34-U34,"n/a")</f>
        <v>-0.170639958471584</v>
      </c>
      <c r="X34" s="59" t="n">
        <f aca="false">IFERROR(SLOPE(C34:K34,{1,2,3,4,5,6,7,8,9})/AVERAGEIF(C34:K34,"&gt;0"),"n/a")</f>
        <v>-0.03704018305229</v>
      </c>
      <c r="Y34" s="59" t="n">
        <f aca="false">IFERROR(SLOPE(H34:K34,{1,2,3,4})/AVERAGEIF(H34:K34,"&gt;0"),"n/a")</f>
        <v>-0.223275173130477</v>
      </c>
      <c r="Z34" s="45" t="n">
        <f aca="false">IFERROR(H34/G34,"n/a")</f>
        <v>0.965854697252672</v>
      </c>
      <c r="AA34" s="45" t="n">
        <f aca="false">IFERROR(H34/F34,"n/a")</f>
        <v>1.39149719427863</v>
      </c>
      <c r="AB34" s="46" t="n">
        <v>0.597210819597906</v>
      </c>
      <c r="AC34" s="47" t="s">
        <v>121</v>
      </c>
      <c r="AD34" s="48" t="n">
        <v>0.05</v>
      </c>
      <c r="AE34" s="49" t="s">
        <v>122</v>
      </c>
    </row>
    <row r="35" customFormat="false" ht="16.5" hidden="false" customHeight="true" outlineLevel="0" collapsed="false">
      <c r="A35" s="83" t="s">
        <v>158</v>
      </c>
      <c r="B35" s="84" t="s">
        <v>159</v>
      </c>
      <c r="C35" s="30" t="n">
        <v>37036</v>
      </c>
      <c r="D35" s="30" t="n">
        <v>79462</v>
      </c>
      <c r="E35" s="30" t="n">
        <v>4979</v>
      </c>
      <c r="F35" s="30" t="n">
        <v>143229</v>
      </c>
      <c r="G35" s="30" t="n">
        <v>271242</v>
      </c>
      <c r="H35" s="31" t="n">
        <v>117704</v>
      </c>
      <c r="I35" s="31" t="n">
        <v>86971</v>
      </c>
      <c r="J35" s="31" t="n">
        <v>93116</v>
      </c>
      <c r="K35" s="31" t="n">
        <v>98048</v>
      </c>
      <c r="L35" s="32" t="n">
        <v>235887</v>
      </c>
      <c r="M35" s="33" t="n">
        <f aca="false">IFERROR(AVERAGEIF(C35:G35,"&gt;0"),0)</f>
        <v>107189.6</v>
      </c>
      <c r="N35" s="34" t="n">
        <f aca="false">IFERROR(AVERAGEIF(H35:K35,"&gt;0"),0)</f>
        <v>98959.75</v>
      </c>
      <c r="O35" s="76" t="n">
        <f aca="false">N35-M35</f>
        <v>-8229.85000000001</v>
      </c>
      <c r="P35" s="77" t="n">
        <f aca="false">IFERROR(N35/M35,"n/a")</f>
        <v>0.923221562539649</v>
      </c>
      <c r="Q35" s="69" t="n">
        <f aca="false">IFERROR(N35/$C$3,0)</f>
        <v>0.000324708821006849</v>
      </c>
      <c r="R35" s="69" t="n">
        <f aca="false">IFERROR(O35/$D$4,0)</f>
        <v>-8.23724483828317E-005</v>
      </c>
      <c r="S35" s="78" t="n">
        <f aca="false">IFERROR((Q35+R35)/2,0)</f>
        <v>0.000121168186312009</v>
      </c>
      <c r="T35" s="79"/>
      <c r="U35" s="40" t="n">
        <f aca="false">IFERROR(POWER(K35/C35,1/8)-1,"n/a")</f>
        <v>0.129410531144972</v>
      </c>
      <c r="V35" s="58" t="n">
        <f aca="false">IFERROR(POWER(K35/H35,1/3)-1,"n/a")</f>
        <v>-0.0590876423920802</v>
      </c>
      <c r="W35" s="53" t="n">
        <f aca="false">IFERROR(V35-U35,"n/a")</f>
        <v>-0.188498173537052</v>
      </c>
      <c r="X35" s="43" t="n">
        <f aca="false">IFERROR(SLOPE(C35:K35,{1,2,3,4,5,6,7,8,9})/AVERAGEIF(C35:K35,"&gt;0"),"n/a")</f>
        <v>0.0681704617042307</v>
      </c>
      <c r="Y35" s="59" t="n">
        <f aca="false">IFERROR(SLOPE(H35:K35,{1,2,3,4})/AVERAGEIF(H35:K35,"&gt;0"),"n/a")</f>
        <v>-0.0533782674269084</v>
      </c>
      <c r="Z35" s="45" t="n">
        <f aca="false">IFERROR(H35/G35,"n/a")</f>
        <v>0.433944595600976</v>
      </c>
      <c r="AA35" s="45" t="n">
        <f aca="false">IFERROR(H35/F35,"n/a")</f>
        <v>0.821788883536155</v>
      </c>
      <c r="AB35" s="56" t="n">
        <v>4.80058474952359</v>
      </c>
      <c r="AC35" s="47" t="s">
        <v>125</v>
      </c>
      <c r="AD35" s="48" t="n">
        <v>0.06</v>
      </c>
      <c r="AE35" s="49" t="s">
        <v>126</v>
      </c>
    </row>
    <row r="36" customFormat="false" ht="16.5" hidden="false" customHeight="true" outlineLevel="0" collapsed="false">
      <c r="A36" s="83" t="s">
        <v>214</v>
      </c>
      <c r="B36" s="84" t="s">
        <v>215</v>
      </c>
      <c r="C36" s="30" t="n">
        <v>95710</v>
      </c>
      <c r="D36" s="30" t="n">
        <v>122778</v>
      </c>
      <c r="E36" s="30" t="n">
        <v>82245</v>
      </c>
      <c r="F36" s="30" t="n">
        <v>195004</v>
      </c>
      <c r="G36" s="30" t="n">
        <v>61124</v>
      </c>
      <c r="H36" s="31" t="n">
        <v>73432</v>
      </c>
      <c r="I36" s="31" t="n">
        <v>65805</v>
      </c>
      <c r="J36" s="31" t="n">
        <v>101506</v>
      </c>
      <c r="K36" s="31" t="n">
        <v>53900</v>
      </c>
      <c r="L36" s="32" t="n">
        <v>88406</v>
      </c>
      <c r="M36" s="33" t="n">
        <f aca="false">IFERROR(AVERAGEIF(C36:G36,"&gt;0"),0)</f>
        <v>111372.2</v>
      </c>
      <c r="N36" s="34" t="n">
        <f aca="false">IFERROR(AVERAGEIF(H36:K36,"&gt;0"),0)</f>
        <v>73660.75</v>
      </c>
      <c r="O36" s="76" t="n">
        <f aca="false">N36-M36</f>
        <v>-37711.45</v>
      </c>
      <c r="P36" s="77" t="n">
        <f aca="false">IFERROR(N36/M36,"n/a")</f>
        <v>0.661392609645854</v>
      </c>
      <c r="Q36" s="69" t="n">
        <f aca="false">IFERROR(N36/$C$3,0)</f>
        <v>0.000241697208076822</v>
      </c>
      <c r="R36" s="69" t="n">
        <f aca="false">IFERROR(O36/$D$4,0)</f>
        <v>-0.000377453351952555</v>
      </c>
      <c r="S36" s="78" t="n">
        <f aca="false">IFERROR((Q36+R36)/2,0)</f>
        <v>-6.78780719378666E-005</v>
      </c>
      <c r="T36" s="79"/>
      <c r="U36" s="58" t="n">
        <f aca="false">IFERROR(POWER(K36/C36,1/8)-1,"n/a")</f>
        <v>-0.0692588163082614</v>
      </c>
      <c r="V36" s="58" t="n">
        <f aca="false">IFERROR(POWER(K36/H36,1/3)-1,"n/a")</f>
        <v>-0.0979419854762192</v>
      </c>
      <c r="W36" s="53" t="n">
        <f aca="false">IFERROR(V36-U36,"n/a")</f>
        <v>-0.0286831691679579</v>
      </c>
      <c r="X36" s="59" t="n">
        <f aca="false">IFERROR(SLOPE(C36:K36,{1,2,3,4,5,6,7,8,9})/AVERAGEIF(C36:K36,"&gt;0"),"n/a")</f>
        <v>-0.0679106616058175</v>
      </c>
      <c r="Y36" s="59" t="n">
        <f aca="false">IFERROR(SLOPE(H36:K36,{1,2,3,4})/AVERAGEIF(H36:K36,"&gt;0"),"n/a")</f>
        <v>-0.0310816818997906</v>
      </c>
      <c r="Z36" s="44" t="n">
        <f aca="false">IFERROR(H36/G36,"n/a")</f>
        <v>1.20136116746286</v>
      </c>
      <c r="AA36" s="45" t="n">
        <f aca="false">IFERROR(H36/F36,"n/a")</f>
        <v>0.376566634530574</v>
      </c>
      <c r="AB36" s="56" t="n">
        <v>1.49454085113171</v>
      </c>
      <c r="AC36" s="47" t="s">
        <v>335</v>
      </c>
      <c r="AD36" s="48" t="n">
        <v>0.1</v>
      </c>
      <c r="AE36" s="66" t="s">
        <v>165</v>
      </c>
    </row>
    <row r="37" customFormat="false" ht="16.5" hidden="false" customHeight="true" outlineLevel="0" collapsed="false">
      <c r="A37" s="83" t="s">
        <v>220</v>
      </c>
      <c r="B37" s="84" t="s">
        <v>221</v>
      </c>
      <c r="C37" s="30" t="n">
        <v>121214</v>
      </c>
      <c r="D37" s="30" t="n">
        <v>44417</v>
      </c>
      <c r="E37" s="30" t="n">
        <v>37483</v>
      </c>
      <c r="F37" s="30" t="n">
        <v>49224</v>
      </c>
      <c r="G37" s="30" t="n">
        <v>70533</v>
      </c>
      <c r="H37" s="31" t="n">
        <v>54497</v>
      </c>
      <c r="I37" s="31" t="n">
        <v>46947</v>
      </c>
      <c r="J37" s="31" t="n">
        <v>75388</v>
      </c>
      <c r="K37" s="31" t="n">
        <v>72876</v>
      </c>
      <c r="L37" s="32" t="n">
        <v>51092</v>
      </c>
      <c r="M37" s="33" t="n">
        <f aca="false">IFERROR(AVERAGEIF(C37:G37,"&gt;0"),0)</f>
        <v>64574.2</v>
      </c>
      <c r="N37" s="34" t="n">
        <f aca="false">IFERROR(AVERAGEIF(H37:K37,"&gt;0"),0)</f>
        <v>62427</v>
      </c>
      <c r="O37" s="76" t="n">
        <f aca="false">N37-M37</f>
        <v>-2147.2</v>
      </c>
      <c r="P37" s="77" t="n">
        <f aca="false">IFERROR(N37/M37,"n/a")</f>
        <v>0.966748329828322</v>
      </c>
      <c r="Q37" s="69" t="n">
        <f aca="false">IFERROR(N37/$C$3,0)</f>
        <v>0.000204836790402104</v>
      </c>
      <c r="R37" s="69" t="n">
        <f aca="false">IFERROR(O37/$D$4,0)</f>
        <v>-2.14912934218261E-005</v>
      </c>
      <c r="S37" s="78" t="n">
        <f aca="false">IFERROR((Q37+R37)/2,0)</f>
        <v>9.16727484901387E-005</v>
      </c>
      <c r="T37" s="79"/>
      <c r="U37" s="58" t="n">
        <f aca="false">IFERROR(POWER(K37/C37,1/8)-1,"n/a")</f>
        <v>-0.0616195136689829</v>
      </c>
      <c r="V37" s="40" t="n">
        <f aca="false">IFERROR(POWER(K37/H37,1/3)-1,"n/a")</f>
        <v>0.101718504429506</v>
      </c>
      <c r="W37" s="42" t="n">
        <f aca="false">IFERROR(V37-U37,"n/a")</f>
        <v>0.163338018098489</v>
      </c>
      <c r="X37" s="59" t="n">
        <f aca="false">IFERROR(SLOPE(C37:K37,{1,2,3,4,5,6,7,8,9})/AVERAGEIF(C37:K37,"&gt;0"),"n/a")</f>
        <v>-0.0199722658358061</v>
      </c>
      <c r="Y37" s="43" t="n">
        <f aca="false">IFERROR(SLOPE(H37:K37,{1,2,3,4})/AVERAGEIF(H37:K37,"&gt;0"),"n/a")</f>
        <v>0.13388117321031</v>
      </c>
      <c r="Z37" s="45" t="n">
        <f aca="false">IFERROR(H37/G37,"n/a")</f>
        <v>0.772645428381041</v>
      </c>
      <c r="AA37" s="45" t="n">
        <f aca="false">IFERROR(H37/F37,"n/a")</f>
        <v>1.1071225418495</v>
      </c>
      <c r="AB37" s="45" t="n">
        <v>0.903567366684287</v>
      </c>
      <c r="AC37" s="47" t="s">
        <v>80</v>
      </c>
      <c r="AD37" s="48" t="n">
        <v>0.025</v>
      </c>
      <c r="AE37" s="49" t="s">
        <v>81</v>
      </c>
    </row>
    <row r="38" customFormat="false" ht="16.5" hidden="false" customHeight="true" outlineLevel="0" collapsed="false">
      <c r="A38" s="83" t="s">
        <v>198</v>
      </c>
      <c r="B38" s="84" t="s">
        <v>199</v>
      </c>
      <c r="C38" s="30" t="n">
        <v>124367</v>
      </c>
      <c r="D38" s="30" t="n">
        <v>86098</v>
      </c>
      <c r="E38" s="30" t="n">
        <v>50935</v>
      </c>
      <c r="F38" s="30" t="n">
        <v>64205</v>
      </c>
      <c r="G38" s="30" t="n">
        <v>41714</v>
      </c>
      <c r="H38" s="31" t="n">
        <v>36145</v>
      </c>
      <c r="I38" s="31" t="n">
        <v>45863</v>
      </c>
      <c r="J38" s="31" t="n">
        <v>55761</v>
      </c>
      <c r="K38" s="31" t="n">
        <v>62339</v>
      </c>
      <c r="L38" s="32" t="n">
        <v>45632</v>
      </c>
      <c r="M38" s="33" t="n">
        <f aca="false">IFERROR(AVERAGEIF(C38:G38,"&gt;0"),0)</f>
        <v>73463.8</v>
      </c>
      <c r="N38" s="34" t="n">
        <f aca="false">IFERROR(AVERAGEIF(H38:K38,"&gt;0"),0)</f>
        <v>50027</v>
      </c>
      <c r="O38" s="76" t="n">
        <f aca="false">N38-M38</f>
        <v>-23436.8</v>
      </c>
      <c r="P38" s="77" t="n">
        <f aca="false">IFERROR(N38/M38,"n/a")</f>
        <v>0.6809748474759</v>
      </c>
      <c r="Q38" s="69" t="n">
        <f aca="false">IFERROR(N38/$C$3,0)</f>
        <v>0.000164149648604707</v>
      </c>
      <c r="R38" s="69" t="n">
        <f aca="false">IFERROR(O38/$D$4,0)</f>
        <v>-0.000234578588705596</v>
      </c>
      <c r="S38" s="78" t="n">
        <f aca="false">IFERROR((Q38+R38)/2,0)</f>
        <v>-3.52144700504445E-005</v>
      </c>
      <c r="T38" s="79"/>
      <c r="U38" s="58" t="n">
        <f aca="false">IFERROR(POWER(K38/C38,1/8)-1,"n/a")</f>
        <v>-0.0827096301001654</v>
      </c>
      <c r="V38" s="40" t="n">
        <f aca="false">IFERROR(POWER(K38/H38,1/3)-1,"n/a")</f>
        <v>0.199233819225751</v>
      </c>
      <c r="W38" s="42" t="n">
        <f aca="false">IFERROR(V38-U38,"n/a")</f>
        <v>0.281943449325916</v>
      </c>
      <c r="X38" s="59" t="n">
        <f aca="false">IFERROR(SLOPE(C38:K38,{1,2,3,4,5,6,7,8,9})/AVERAGEIF(C38:K38,"&gt;0"),"n/a")</f>
        <v>-0.0997468396815802</v>
      </c>
      <c r="Y38" s="43" t="n">
        <f aca="false">IFERROR(SLOPE(H38:K38,{1,2,3,4})/AVERAGEIF(H38:K38,"&gt;0"),"n/a")</f>
        <v>0.176864493173686</v>
      </c>
      <c r="Z38" s="45" t="n">
        <f aca="false">IFERROR(H38/G38,"n/a")</f>
        <v>0.866495660929184</v>
      </c>
      <c r="AA38" s="45" t="n">
        <f aca="false">IFERROR(H38/F38,"n/a")</f>
        <v>0.562962386107001</v>
      </c>
      <c r="AB38" s="56" t="n">
        <v>1.17079443767033</v>
      </c>
      <c r="AC38" s="47" t="s">
        <v>131</v>
      </c>
      <c r="AD38" s="48" t="n">
        <v>0.03</v>
      </c>
      <c r="AE38" s="49" t="s">
        <v>132</v>
      </c>
    </row>
    <row r="39" customFormat="false" ht="16.5" hidden="false" customHeight="true" outlineLevel="0" collapsed="false">
      <c r="A39" s="83" t="s">
        <v>255</v>
      </c>
      <c r="B39" s="84" t="s">
        <v>256</v>
      </c>
      <c r="C39" s="30" t="n">
        <v>67791</v>
      </c>
      <c r="D39" s="30" t="n">
        <v>86388</v>
      </c>
      <c r="E39" s="30" t="n">
        <v>56509</v>
      </c>
      <c r="F39" s="30" t="n">
        <v>77364</v>
      </c>
      <c r="G39" s="30" t="n">
        <v>129970</v>
      </c>
      <c r="H39" s="31" t="n">
        <v>171810</v>
      </c>
      <c r="I39" s="31" t="n">
        <v>3939</v>
      </c>
      <c r="J39" s="31" t="n">
        <v>5769</v>
      </c>
      <c r="K39" s="31" t="n">
        <v>9543</v>
      </c>
      <c r="L39" s="32" t="n">
        <v>8882</v>
      </c>
      <c r="M39" s="33" t="n">
        <f aca="false">IFERROR(AVERAGEIF(C39:G39,"&gt;0"),0)</f>
        <v>83604.4</v>
      </c>
      <c r="N39" s="34" t="n">
        <f aca="false">IFERROR(AVERAGEIF(H39:K39,"&gt;0"),0)</f>
        <v>47765.25</v>
      </c>
      <c r="O39" s="76" t="n">
        <f aca="false">N39-M39</f>
        <v>-35839.15</v>
      </c>
      <c r="P39" s="77" t="n">
        <f aca="false">IFERROR(N39/M39,"n/a")</f>
        <v>0.571324595356225</v>
      </c>
      <c r="Q39" s="69" t="n">
        <f aca="false">IFERROR(N39/$C$3,0)</f>
        <v>0.000156728346753073</v>
      </c>
      <c r="R39" s="69" t="n">
        <f aca="false">IFERROR(O39/$D$4,0)</f>
        <v>-0.000358713528613469</v>
      </c>
      <c r="S39" s="78" t="n">
        <f aca="false">IFERROR((Q39+R39)/2,0)</f>
        <v>-0.000100992590930198</v>
      </c>
      <c r="T39" s="79"/>
      <c r="U39" s="58" t="n">
        <f aca="false">IFERROR(POWER(K39/C39,1/8)-1,"n/a")</f>
        <v>-0.2173562697991</v>
      </c>
      <c r="V39" s="58" t="n">
        <f aca="false">IFERROR(POWER(K39/H39,1/3)-1,"n/a")</f>
        <v>-0.618455238378363</v>
      </c>
      <c r="W39" s="53" t="n">
        <f aca="false">IFERROR(V39-U39,"n/a")</f>
        <v>-0.401098968579263</v>
      </c>
      <c r="X39" s="59" t="n">
        <f aca="false">IFERROR(SLOPE(C39:K39,{1,2,3,4,5,6,7,8,9})/AVERAGEIF(C39:K39,"&gt;0"),"n/a")</f>
        <v>-0.119575575085826</v>
      </c>
      <c r="Y39" s="59" t="n">
        <f aca="false">IFERROR(SLOPE(H39:K39,{1,2,3,4})/AVERAGEIF(H39:K39,"&gt;0"),"n/a")</f>
        <v>-1.01532180821832</v>
      </c>
      <c r="Z39" s="44" t="n">
        <f aca="false">IFERROR(H39/G39,"n/a")</f>
        <v>1.3219204431792</v>
      </c>
      <c r="AA39" s="67" t="n">
        <f aca="false">IFERROR(H39/F39,"n/a")</f>
        <v>2.22080037226617</v>
      </c>
      <c r="AB39" s="46" t="n">
        <v>0.274439402424706</v>
      </c>
      <c r="AC39" s="47" t="s">
        <v>125</v>
      </c>
      <c r="AD39" s="48" t="n">
        <v>0.06</v>
      </c>
      <c r="AE39" s="49" t="s">
        <v>126</v>
      </c>
    </row>
    <row r="40" customFormat="false" ht="16.5" hidden="false" customHeight="true" outlineLevel="0" collapsed="false">
      <c r="A40" s="83" t="s">
        <v>228</v>
      </c>
      <c r="B40" s="84" t="s">
        <v>229</v>
      </c>
      <c r="C40" s="30" t="n">
        <v>111012</v>
      </c>
      <c r="D40" s="30" t="n">
        <v>188284</v>
      </c>
      <c r="E40" s="30" t="n">
        <v>73328</v>
      </c>
      <c r="F40" s="30" t="n">
        <v>160971</v>
      </c>
      <c r="G40" s="30" t="n">
        <v>183831</v>
      </c>
      <c r="H40" s="31" t="n">
        <v>45524</v>
      </c>
      <c r="I40" s="31" t="n">
        <v>21938</v>
      </c>
      <c r="J40" s="31" t="n">
        <v>12302</v>
      </c>
      <c r="K40" s="31" t="n">
        <v>63213</v>
      </c>
      <c r="L40" s="32" t="n">
        <v>32964</v>
      </c>
      <c r="M40" s="33" t="n">
        <f aca="false">IFERROR(AVERAGEIF(C40:G40,"&gt;0"),0)</f>
        <v>143485.2</v>
      </c>
      <c r="N40" s="34" t="n">
        <f aca="false">IFERROR(AVERAGEIF(H40:K40,"&gt;0"),0)</f>
        <v>35744.25</v>
      </c>
      <c r="O40" s="76" t="n">
        <f aca="false">N40-M40</f>
        <v>-107740.95</v>
      </c>
      <c r="P40" s="77" t="n">
        <f aca="false">IFERROR(N40/M40,"n/a")</f>
        <v>0.249114542823929</v>
      </c>
      <c r="Q40" s="69" t="n">
        <f aca="false">IFERROR(N40/$C$3,0)</f>
        <v>0.000117284787757387</v>
      </c>
      <c r="R40" s="69" t="n">
        <f aca="false">IFERROR(O40/$D$4,0)</f>
        <v>-0.00107837759407428</v>
      </c>
      <c r="S40" s="78" t="n">
        <f aca="false">IFERROR((Q40+R40)/2,0)</f>
        <v>-0.000480546403158448</v>
      </c>
      <c r="T40" s="79"/>
      <c r="U40" s="58" t="n">
        <f aca="false">IFERROR(POWER(K40/C40,1/8)-1,"n/a")</f>
        <v>-0.0679707129545906</v>
      </c>
      <c r="V40" s="40" t="n">
        <f aca="false">IFERROR(POWER(K40/H40,1/3)-1,"n/a")</f>
        <v>0.115634653480012</v>
      </c>
      <c r="W40" s="42" t="n">
        <f aca="false">IFERROR(V40-U40,"n/a")</f>
        <v>0.183605366434602</v>
      </c>
      <c r="X40" s="59" t="n">
        <f aca="false">IFERROR(SLOPE(C40:K40,{1,2,3,4,5,6,7,8,9})/AVERAGEIF(C40:K40,"&gt;0"),"n/a")</f>
        <v>-0.163418014581539</v>
      </c>
      <c r="Y40" s="43" t="n">
        <f aca="false">IFERROR(SLOPE(H40:K40,{1,2,3,4})/AVERAGEIF(H40:K40,"&gt;0"),"n/a")</f>
        <v>0.121504857424621</v>
      </c>
      <c r="Z40" s="45" t="n">
        <f aca="false">IFERROR(H40/G40,"n/a")</f>
        <v>0.247640495890247</v>
      </c>
      <c r="AA40" s="45" t="n">
        <f aca="false">IFERROR(H40/F40,"n/a")</f>
        <v>0.282808704673513</v>
      </c>
      <c r="AB40" s="56" t="n">
        <v>4.70582914268262</v>
      </c>
      <c r="AC40" s="47" t="s">
        <v>328</v>
      </c>
      <c r="AD40" s="48" t="n">
        <v>0.0235</v>
      </c>
      <c r="AE40" s="49" t="s">
        <v>329</v>
      </c>
    </row>
    <row r="41" customFormat="false" ht="16.5" hidden="false" customHeight="true" outlineLevel="0" collapsed="false">
      <c r="A41" s="83" t="s">
        <v>200</v>
      </c>
      <c r="B41" s="84" t="s">
        <v>201</v>
      </c>
      <c r="C41" s="50" t="s">
        <v>84</v>
      </c>
      <c r="D41" s="30" t="n">
        <v>1517</v>
      </c>
      <c r="E41" s="50" t="s">
        <v>84</v>
      </c>
      <c r="F41" s="30" t="n">
        <v>320353</v>
      </c>
      <c r="G41" s="30" t="n">
        <v>794948</v>
      </c>
      <c r="H41" s="31" t="n">
        <v>10259</v>
      </c>
      <c r="I41" s="31" t="n">
        <v>12323</v>
      </c>
      <c r="J41" s="31" t="n">
        <v>49076</v>
      </c>
      <c r="K41" s="31" t="n">
        <v>48564</v>
      </c>
      <c r="L41" s="32" t="n">
        <v>159308</v>
      </c>
      <c r="M41" s="33" t="n">
        <f aca="false">IFERROR(AVERAGEIF(C41:G41,"&gt;0"),0)</f>
        <v>372272.666666667</v>
      </c>
      <c r="N41" s="34" t="n">
        <f aca="false">IFERROR(AVERAGEIF(H41:K41,"&gt;0"),0)</f>
        <v>30055.5</v>
      </c>
      <c r="O41" s="76" t="n">
        <f aca="false">N41-M41</f>
        <v>-342217.166666667</v>
      </c>
      <c r="P41" s="77" t="n">
        <f aca="false">IFERROR(N41/M41,"n/a")</f>
        <v>0.080735177978865</v>
      </c>
      <c r="Q41" s="69" t="n">
        <f aca="false">IFERROR(N41/$C$3,0)</f>
        <v>9.8618741152553E-005</v>
      </c>
      <c r="R41" s="69" t="n">
        <f aca="false">IFERROR(O41/$D$4,0)</f>
        <v>-0.00342524662016548</v>
      </c>
      <c r="S41" s="78" t="n">
        <f aca="false">IFERROR((Q41+R41)/2,0)</f>
        <v>-0.00166331393950646</v>
      </c>
      <c r="T41" s="79"/>
      <c r="U41" s="41" t="str">
        <f aca="false">IFERROR(POWER(K41/C41,1/8)-1,"n/a")</f>
        <v>n/a</v>
      </c>
      <c r="V41" s="41" t="n">
        <f aca="false">IFERROR(POWER(K41/H41,1/3)-1,"n/a")</f>
        <v>0.679073884503869</v>
      </c>
      <c r="W41" s="71" t="str">
        <f aca="false">IFERROR(V41-U41,"n/a")</f>
        <v>n/a</v>
      </c>
      <c r="X41" s="59" t="n">
        <f aca="false">IFERROR(SLOPE(C41:K41,{1,2,3,4,5,6,7,8,9})/AVERAGEIF(C41:K41,"&gt;0"),"n/a")</f>
        <v>-0.163773130969432</v>
      </c>
      <c r="Y41" s="43" t="n">
        <f aca="false">IFERROR(SLOPE(H41:K41,{1,2,3,4})/AVERAGEIF(H41:K41,"&gt;0"),"n/a")</f>
        <v>0.504626441083995</v>
      </c>
      <c r="Z41" s="45" t="n">
        <f aca="false">IFERROR(H41/G41,"n/a")</f>
        <v>0.0129052466324841</v>
      </c>
      <c r="AA41" s="45" t="n">
        <f aca="false">IFERROR(H41/F41,"n/a")</f>
        <v>0.0320240484715298</v>
      </c>
      <c r="AB41" s="56" t="n">
        <v>1.86557091602757</v>
      </c>
      <c r="AC41" s="47" t="s">
        <v>325</v>
      </c>
      <c r="AD41" s="48" t="n">
        <v>0.07</v>
      </c>
      <c r="AE41" s="49" t="s">
        <v>326</v>
      </c>
    </row>
    <row r="42" customFormat="false" ht="16.5" hidden="false" customHeight="true" outlineLevel="0" collapsed="false">
      <c r="A42" s="83" t="s">
        <v>309</v>
      </c>
      <c r="B42" s="84" t="s">
        <v>310</v>
      </c>
      <c r="C42" s="50" t="s">
        <v>84</v>
      </c>
      <c r="D42" s="50" t="s">
        <v>84</v>
      </c>
      <c r="E42" s="50" t="s">
        <v>84</v>
      </c>
      <c r="F42" s="50" t="s">
        <v>84</v>
      </c>
      <c r="G42" s="50" t="s">
        <v>84</v>
      </c>
      <c r="H42" s="50" t="s">
        <v>84</v>
      </c>
      <c r="I42" s="50" t="s">
        <v>84</v>
      </c>
      <c r="J42" s="31" t="n">
        <v>28296</v>
      </c>
      <c r="K42" s="31" t="n">
        <v>30165</v>
      </c>
      <c r="L42" s="32" t="n">
        <v>5117</v>
      </c>
      <c r="M42" s="33" t="n">
        <f aca="false">IFERROR(AVERAGEIF(C42:G42,"&gt;0"),0)</f>
        <v>0</v>
      </c>
      <c r="N42" s="34" t="n">
        <f aca="false">IFERROR(AVERAGEIF(H42:K42,"&gt;0"),0)</f>
        <v>29230.5</v>
      </c>
      <c r="O42" s="87" t="n">
        <f aca="false">N42-M42</f>
        <v>29230.5</v>
      </c>
      <c r="P42" s="77" t="str">
        <f aca="false">IFERROR(N42/M42,"n/a")</f>
        <v>n/a</v>
      </c>
      <c r="Q42" s="69" t="n">
        <f aca="false">IFERROR(N42/$C$3,0)</f>
        <v>9.5911733734581E-005</v>
      </c>
      <c r="R42" s="69" t="n">
        <f aca="false">IFERROR(O42/$D$4,0)</f>
        <v>0.000292567647339181</v>
      </c>
      <c r="S42" s="78" t="n">
        <f aca="false">IFERROR((Q42+R42)/2,0)</f>
        <v>0.000194239690536881</v>
      </c>
      <c r="T42" s="79"/>
      <c r="U42" s="40" t="str">
        <f aca="false">IFERROR(POWER(K42/C42,1/8)-1,"n/a")</f>
        <v>n/a</v>
      </c>
      <c r="V42" s="40" t="str">
        <f aca="false">IFERROR(POWER(K42/H42,1/3)-1,"n/a")</f>
        <v>n/a</v>
      </c>
      <c r="W42" s="71" t="str">
        <f aca="false">IFERROR(V42-U42,"n/a")</f>
        <v>n/a</v>
      </c>
      <c r="X42" s="88" t="n">
        <f aca="false">IFERROR(SLOPE(C42:K42,{1,2,3,4,5,6,7,8,9})/AVERAGEIF(C42:K42,"&gt;0"),"n/a")</f>
        <v>0.0639400626058398</v>
      </c>
      <c r="Y42" s="88" t="n">
        <f aca="false">IFERROR(SLOPE(H42:K42,{1,2,3,4})/AVERAGEIF(H42:K42,"&gt;0"),"n/a")</f>
        <v>0.0639400626058398</v>
      </c>
      <c r="Z42" s="45" t="str">
        <f aca="false">IFERROR(H42/G42,"n/a")</f>
        <v>n/a</v>
      </c>
      <c r="AA42" s="45" t="str">
        <f aca="false">IFERROR(H42/F42,"n/a")</f>
        <v>n/a</v>
      </c>
      <c r="AB42" s="45" t="n">
        <v>0.829806765764071</v>
      </c>
      <c r="AC42" s="47" t="s">
        <v>80</v>
      </c>
      <c r="AD42" s="48" t="n">
        <v>0.025</v>
      </c>
      <c r="AE42" s="49" t="s">
        <v>81</v>
      </c>
    </row>
    <row r="43" customFormat="false" ht="16.5" hidden="false" customHeight="true" outlineLevel="0" collapsed="false">
      <c r="A43" s="83" t="s">
        <v>127</v>
      </c>
      <c r="B43" s="84" t="s">
        <v>128</v>
      </c>
      <c r="C43" s="30" t="n">
        <v>39163</v>
      </c>
      <c r="D43" s="30" t="n">
        <v>48866</v>
      </c>
      <c r="E43" s="30" t="n">
        <v>77140</v>
      </c>
      <c r="F43" s="30" t="n">
        <v>23914</v>
      </c>
      <c r="G43" s="30" t="n">
        <v>5664</v>
      </c>
      <c r="H43" s="31" t="n">
        <v>8370</v>
      </c>
      <c r="I43" s="31" t="n">
        <v>6300</v>
      </c>
      <c r="J43" s="31" t="n">
        <v>11235</v>
      </c>
      <c r="K43" s="31" t="n">
        <v>70961</v>
      </c>
      <c r="L43" s="32" t="n">
        <v>62163</v>
      </c>
      <c r="M43" s="33" t="n">
        <f aca="false">IFERROR(AVERAGEIF(C43:G43,"&gt;0"),0)</f>
        <v>38949.4</v>
      </c>
      <c r="N43" s="34" t="n">
        <f aca="false">IFERROR(AVERAGEIF(H43:K43,"&gt;0"),0)</f>
        <v>24216.5</v>
      </c>
      <c r="O43" s="76" t="n">
        <f aca="false">N43-M43</f>
        <v>-14732.9</v>
      </c>
      <c r="P43" s="77" t="n">
        <f aca="false">IFERROR(N43/M43,"n/a")</f>
        <v>0.621742568563315</v>
      </c>
      <c r="Q43" s="69" t="n">
        <f aca="false">IFERROR(N43/$C$3,0)</f>
        <v>7.94596910755369E-005</v>
      </c>
      <c r="R43" s="69" t="n">
        <f aca="false">IFERROR(O43/$D$4,0)</f>
        <v>-0.000147461380800309</v>
      </c>
      <c r="S43" s="78" t="n">
        <f aca="false">IFERROR((Q43+R43)/2,0)</f>
        <v>-3.40008448623859E-005</v>
      </c>
      <c r="T43" s="79"/>
      <c r="U43" s="40" t="n">
        <f aca="false">IFERROR(POWER(K43/C43,1/8)-1,"n/a")</f>
        <v>0.0771296276369873</v>
      </c>
      <c r="V43" s="41" t="n">
        <f aca="false">IFERROR(POWER(K43/H43,1/3)-1,"n/a")</f>
        <v>1.03906665672685</v>
      </c>
      <c r="W43" s="42" t="n">
        <f aca="false">IFERROR(V43-U43,"n/a")</f>
        <v>0.961937029089859</v>
      </c>
      <c r="X43" s="59" t="n">
        <f aca="false">IFERROR(SLOPE(C43:K43,{1,2,3,4,5,6,7,8,9})/AVERAGEIF(C43:K43,"&gt;0"),"n/a")</f>
        <v>-0.0735178129918762</v>
      </c>
      <c r="Y43" s="43" t="n">
        <f aca="false">IFERROR(SLOPE(H43:K43,{1,2,3,4})/AVERAGEIF(H43:K43,"&gt;0"),"n/a")</f>
        <v>0.795771478124419</v>
      </c>
      <c r="Z43" s="44" t="n">
        <f aca="false">IFERROR(H43/G43,"n/a")</f>
        <v>1.47775423728814</v>
      </c>
      <c r="AA43" s="45" t="n">
        <f aca="false">IFERROR(H43/F43,"n/a")</f>
        <v>0.350004181650916</v>
      </c>
      <c r="AB43" s="56" t="n">
        <v>2.5259086435557</v>
      </c>
      <c r="AC43" s="47" t="s">
        <v>336</v>
      </c>
      <c r="AD43" s="48" t="n">
        <v>0.0375</v>
      </c>
      <c r="AE43" s="49" t="s">
        <v>337</v>
      </c>
    </row>
    <row r="44" customFormat="false" ht="16.5" hidden="false" customHeight="true" outlineLevel="0" collapsed="false">
      <c r="A44" s="83" t="s">
        <v>137</v>
      </c>
      <c r="B44" s="84" t="s">
        <v>138</v>
      </c>
      <c r="C44" s="30" t="n">
        <v>11154</v>
      </c>
      <c r="D44" s="30" t="n">
        <v>23316</v>
      </c>
      <c r="E44" s="30" t="n">
        <v>23458</v>
      </c>
      <c r="F44" s="30" t="n">
        <v>26435</v>
      </c>
      <c r="G44" s="30" t="n">
        <v>49506</v>
      </c>
      <c r="H44" s="31" t="n">
        <v>22154</v>
      </c>
      <c r="I44" s="31" t="n">
        <v>19580</v>
      </c>
      <c r="J44" s="31" t="n">
        <v>22128</v>
      </c>
      <c r="K44" s="31" t="n">
        <v>28388</v>
      </c>
      <c r="L44" s="32" t="n">
        <v>39792</v>
      </c>
      <c r="M44" s="33" t="n">
        <f aca="false">IFERROR(AVERAGEIF(C44:G44,"&gt;0"),0)</f>
        <v>26773.8</v>
      </c>
      <c r="N44" s="34" t="n">
        <f aca="false">IFERROR(AVERAGEIF(H44:K44,"&gt;0"),0)</f>
        <v>23062.5</v>
      </c>
      <c r="O44" s="76" t="n">
        <f aca="false">N44-M44</f>
        <v>-3711.3</v>
      </c>
      <c r="P44" s="77" t="n">
        <f aca="false">IFERROR(N44/M44,"n/a")</f>
        <v>0.861383143222105</v>
      </c>
      <c r="Q44" s="69" t="n">
        <f aca="false">IFERROR(N44/$C$3,0)</f>
        <v>7.56731619114889E-005</v>
      </c>
      <c r="R44" s="69" t="n">
        <f aca="false">IFERROR(O44/$D$4,0)</f>
        <v>-3.71463474648023E-005</v>
      </c>
      <c r="S44" s="78" t="n">
        <f aca="false">IFERROR((Q44+R44)/2,0)</f>
        <v>1.92634072233433E-005</v>
      </c>
      <c r="T44" s="79"/>
      <c r="U44" s="40" t="n">
        <f aca="false">IFERROR(POWER(K44/C44,1/8)-1,"n/a")</f>
        <v>0.123862083956653</v>
      </c>
      <c r="V44" s="40" t="n">
        <f aca="false">IFERROR(POWER(K44/H44,1/3)-1,"n/a")</f>
        <v>0.0861610255666334</v>
      </c>
      <c r="W44" s="53" t="n">
        <f aca="false">IFERROR(V44-U44,"n/a")</f>
        <v>-0.0377010583900193</v>
      </c>
      <c r="X44" s="43" t="n">
        <f aca="false">IFERROR(SLOPE(C44:K44,{1,2,3,4,5,6,7,8,9})/AVERAGEIF(C44:K44,"&gt;0"),"n/a")</f>
        <v>0.0353807066190811</v>
      </c>
      <c r="Y44" s="43" t="n">
        <f aca="false">IFERROR(SLOPE(H44:K44,{1,2,3,4})/AVERAGEIF(H44:K44,"&gt;0"),"n/a")</f>
        <v>0.0921409214092141</v>
      </c>
      <c r="Z44" s="45" t="n">
        <f aca="false">IFERROR(H44/G44,"n/a")</f>
        <v>0.447501312972165</v>
      </c>
      <c r="AA44" s="45" t="n">
        <f aca="false">IFERROR(H44/F44,"n/a")</f>
        <v>0.838055608095328</v>
      </c>
      <c r="AB44" s="56" t="n">
        <v>1.38519241192412</v>
      </c>
      <c r="AC44" s="85" t="s">
        <v>139</v>
      </c>
      <c r="AD44" s="86" t="s">
        <v>140</v>
      </c>
      <c r="AE44" s="86" t="s">
        <v>84</v>
      </c>
    </row>
    <row r="45" customFormat="false" ht="16.5" hidden="false" customHeight="true" outlineLevel="0" collapsed="false">
      <c r="A45" s="83" t="s">
        <v>301</v>
      </c>
      <c r="B45" s="84" t="s">
        <v>302</v>
      </c>
      <c r="C45" s="30" t="n">
        <v>19533</v>
      </c>
      <c r="D45" s="30" t="n">
        <v>13627</v>
      </c>
      <c r="E45" s="30" t="n">
        <v>29092</v>
      </c>
      <c r="F45" s="30" t="n">
        <v>23118</v>
      </c>
      <c r="G45" s="30" t="n">
        <v>28016</v>
      </c>
      <c r="H45" s="31" t="n">
        <v>19507</v>
      </c>
      <c r="I45" s="31" t="n">
        <v>11733</v>
      </c>
      <c r="J45" s="31" t="n">
        <v>17788</v>
      </c>
      <c r="K45" s="31" t="n">
        <v>15823</v>
      </c>
      <c r="L45" s="32" t="n">
        <v>25254</v>
      </c>
      <c r="M45" s="33" t="n">
        <f aca="false">IFERROR(AVERAGEIF(C45:G45,"&gt;0"),0)</f>
        <v>22677.2</v>
      </c>
      <c r="N45" s="34" t="n">
        <f aca="false">IFERROR(AVERAGEIF(H45:K45,"&gt;0"),0)</f>
        <v>16212.75</v>
      </c>
      <c r="O45" s="76" t="n">
        <f aca="false">N45-M45</f>
        <v>-6464.45</v>
      </c>
      <c r="P45" s="77" t="n">
        <f aca="false">IFERROR(N45/M45,"n/a")</f>
        <v>0.714936147319775</v>
      </c>
      <c r="Q45" s="69" t="n">
        <f aca="false">IFERROR(N45/$C$3,0)</f>
        <v>5.3197617594818E-005</v>
      </c>
      <c r="R45" s="69" t="n">
        <f aca="false">IFERROR(O45/$D$4,0)</f>
        <v>-6.47025855815593E-005</v>
      </c>
      <c r="S45" s="78" t="n">
        <f aca="false">IFERROR((Q45+R45)/2,0)</f>
        <v>-5.75248399337064E-006</v>
      </c>
      <c r="T45" s="79"/>
      <c r="U45" s="58" t="n">
        <f aca="false">IFERROR(POWER(K45/C45,1/8)-1,"n/a")</f>
        <v>-0.0259864810868028</v>
      </c>
      <c r="V45" s="58" t="n">
        <f aca="false">IFERROR(POWER(K45/H45,1/3)-1,"n/a")</f>
        <v>-0.0673913311169837</v>
      </c>
      <c r="W45" s="53" t="n">
        <f aca="false">IFERROR(V45-U45,"n/a")</f>
        <v>-0.0414048500301809</v>
      </c>
      <c r="X45" s="59" t="n">
        <f aca="false">IFERROR(SLOPE(C45:K45,{1,2,3,4,5,6,7,8,9})/AVERAGEIF(C45:K45,"&gt;0"),"n/a")</f>
        <v>-0.0342403653562392</v>
      </c>
      <c r="Y45" s="59" t="n">
        <f aca="false">IFERROR(SLOPE(H45:K45,{1,2,3,4})/AVERAGEIF(H45:K45,"&gt;0"),"n/a")</f>
        <v>-0.0308214214121602</v>
      </c>
      <c r="Z45" s="45" t="n">
        <f aca="false">IFERROR(H45/G45,"n/a")</f>
        <v>0.696280696744717</v>
      </c>
      <c r="AA45" s="45" t="n">
        <f aca="false">IFERROR(H45/F45,"n/a")</f>
        <v>0.843801366900251</v>
      </c>
      <c r="AB45" s="56" t="n">
        <v>1.70291899893602</v>
      </c>
      <c r="AC45" s="47" t="s">
        <v>125</v>
      </c>
      <c r="AD45" s="48" t="n">
        <v>0.06</v>
      </c>
      <c r="AE45" s="49" t="s">
        <v>126</v>
      </c>
    </row>
    <row r="46" customFormat="false" ht="16.5" hidden="false" customHeight="true" outlineLevel="0" collapsed="false">
      <c r="A46" s="83" t="s">
        <v>226</v>
      </c>
      <c r="B46" s="84" t="s">
        <v>227</v>
      </c>
      <c r="C46" s="30" t="n">
        <v>36473</v>
      </c>
      <c r="D46" s="30" t="n">
        <v>44057</v>
      </c>
      <c r="E46" s="30" t="n">
        <v>52147</v>
      </c>
      <c r="F46" s="30" t="n">
        <v>36993</v>
      </c>
      <c r="G46" s="30" t="n">
        <v>15746</v>
      </c>
      <c r="H46" s="31" t="n">
        <v>13129</v>
      </c>
      <c r="I46" s="31" t="n">
        <v>11429</v>
      </c>
      <c r="J46" s="31" t="n">
        <v>23845</v>
      </c>
      <c r="K46" s="31" t="n">
        <v>6974</v>
      </c>
      <c r="L46" s="32" t="n">
        <v>12032</v>
      </c>
      <c r="M46" s="33" t="n">
        <f aca="false">IFERROR(AVERAGEIF(C46:G46,"&gt;0"),0)</f>
        <v>37083.2</v>
      </c>
      <c r="N46" s="34" t="n">
        <f aca="false">IFERROR(AVERAGEIF(H46:K46,"&gt;0"),0)</f>
        <v>13844.25</v>
      </c>
      <c r="O46" s="76" t="n">
        <f aca="false">N46-M46</f>
        <v>-23238.95</v>
      </c>
      <c r="P46" s="77" t="n">
        <f aca="false">IFERROR(N46/M46,"n/a")</f>
        <v>0.373329432195711</v>
      </c>
      <c r="Q46" s="69" t="n">
        <f aca="false">IFERROR(N46/$C$3,0)</f>
        <v>4.5426045389404E-005</v>
      </c>
      <c r="R46" s="69" t="n">
        <f aca="false">IFERROR(O46/$D$4,0)</f>
        <v>-0.000232598310946883</v>
      </c>
      <c r="S46" s="78" t="n">
        <f aca="false">IFERROR((Q46+R46)/2,0)</f>
        <v>-9.35861327787395E-005</v>
      </c>
      <c r="T46" s="79"/>
      <c r="U46" s="58" t="n">
        <f aca="false">IFERROR(POWER(K46/C46,1/8)-1,"n/a")</f>
        <v>-0.186816033579447</v>
      </c>
      <c r="V46" s="58" t="n">
        <f aca="false">IFERROR(POWER(K46/H46,1/3)-1,"n/a")</f>
        <v>-0.190127290070167</v>
      </c>
      <c r="W46" s="53" t="n">
        <f aca="false">IFERROR(V46-U46,"n/a")</f>
        <v>-0.00331125649072039</v>
      </c>
      <c r="X46" s="59" t="n">
        <f aca="false">IFERROR(SLOPE(C46:K46,{1,2,3,4,5,6,7,8,9})/AVERAGEIF(C46:K46,"&gt;0"),"n/a")</f>
        <v>-0.176873081858692</v>
      </c>
      <c r="Y46" s="59" t="n">
        <f aca="false">IFERROR(SLOPE(H46:K46,{1,2,3,4})/AVERAGEIF(H46:K46,"&gt;0"),"n/a")</f>
        <v>-0.0436932300413529</v>
      </c>
      <c r="Z46" s="45" t="n">
        <f aca="false">IFERROR(H46/G46,"n/a")</f>
        <v>0.83379906007875</v>
      </c>
      <c r="AA46" s="45" t="n">
        <f aca="false">IFERROR(H46/F46,"n/a")</f>
        <v>0.354904982023626</v>
      </c>
      <c r="AB46" s="56" t="n">
        <v>3.78091987648302</v>
      </c>
      <c r="AC46" s="47" t="s">
        <v>125</v>
      </c>
      <c r="AD46" s="48" t="n">
        <v>0.06</v>
      </c>
      <c r="AE46" s="49" t="s">
        <v>126</v>
      </c>
    </row>
    <row r="47" customFormat="false" ht="16.5" hidden="false" customHeight="true" outlineLevel="0" collapsed="false">
      <c r="A47" s="83" t="s">
        <v>259</v>
      </c>
      <c r="B47" s="84" t="s">
        <v>260</v>
      </c>
      <c r="C47" s="30" t="n">
        <v>44723</v>
      </c>
      <c r="D47" s="30" t="n">
        <v>27897</v>
      </c>
      <c r="E47" s="30" t="n">
        <v>46426</v>
      </c>
      <c r="F47" s="30" t="n">
        <v>78901</v>
      </c>
      <c r="G47" s="30" t="n">
        <v>85951</v>
      </c>
      <c r="H47" s="31" t="n">
        <v>20126</v>
      </c>
      <c r="I47" s="31" t="n">
        <v>4544</v>
      </c>
      <c r="J47" s="31" t="n">
        <v>10464</v>
      </c>
      <c r="K47" s="31" t="n">
        <v>13771</v>
      </c>
      <c r="L47" s="32" t="n">
        <v>22031</v>
      </c>
      <c r="M47" s="33" t="n">
        <f aca="false">IFERROR(AVERAGEIF(C47:G47,"&gt;0"),0)</f>
        <v>56779.6</v>
      </c>
      <c r="N47" s="34" t="n">
        <f aca="false">IFERROR(AVERAGEIF(H47:K47,"&gt;0"),0)</f>
        <v>12226.25</v>
      </c>
      <c r="O47" s="76" t="n">
        <f aca="false">N47-M47</f>
        <v>-44553.35</v>
      </c>
      <c r="P47" s="77" t="n">
        <f aca="false">IFERROR(N47/M47,"n/a")</f>
        <v>0.215328216472113</v>
      </c>
      <c r="Q47" s="69" t="n">
        <f aca="false">IFERROR(N47/$C$3,0)</f>
        <v>4.01170296290663E-005</v>
      </c>
      <c r="R47" s="69" t="n">
        <f aca="false">IFERROR(O47/$D$4,0)</f>
        <v>-0.000445933829068237</v>
      </c>
      <c r="S47" s="78" t="n">
        <f aca="false">IFERROR((Q47+R47)/2,0)</f>
        <v>-0.000202908399719585</v>
      </c>
      <c r="T47" s="79"/>
      <c r="U47" s="58" t="n">
        <f aca="false">IFERROR(POWER(K47/C47,1/8)-1,"n/a")</f>
        <v>-0.13691350966178</v>
      </c>
      <c r="V47" s="58" t="n">
        <f aca="false">IFERROR(POWER(K47/H47,1/3)-1,"n/a")</f>
        <v>-0.118810453203637</v>
      </c>
      <c r="W47" s="71" t="n">
        <f aca="false">IFERROR(V47-U47,"n/a")</f>
        <v>0.0181030564581427</v>
      </c>
      <c r="X47" s="59" t="n">
        <f aca="false">IFERROR(SLOPE(C47:K47,{1,2,3,4,5,6,7,8,9})/AVERAGEIF(C47:K47,"&gt;0"),"n/a")</f>
        <v>-0.143619198144248</v>
      </c>
      <c r="Y47" s="59" t="n">
        <f aca="false">IFERROR(SLOPE(H47:K47,{1,2,3,4})/AVERAGEIF(H47:K47,"&gt;0"),"n/a")</f>
        <v>-0.107514569062468</v>
      </c>
      <c r="Z47" s="45" t="n">
        <f aca="false">IFERROR(H47/G47,"n/a")</f>
        <v>0.234156670661191</v>
      </c>
      <c r="AA47" s="45" t="n">
        <f aca="false">IFERROR(H47/F47,"n/a")</f>
        <v>0.255079149820661</v>
      </c>
      <c r="AB47" s="56" t="n">
        <v>2.24391507344171</v>
      </c>
      <c r="AC47" s="47" t="s">
        <v>125</v>
      </c>
      <c r="AD47" s="48" t="n">
        <v>0.06</v>
      </c>
      <c r="AE47" s="49" t="s">
        <v>126</v>
      </c>
    </row>
    <row r="48" customFormat="false" ht="16.5" hidden="false" customHeight="true" outlineLevel="0" collapsed="false">
      <c r="A48" s="83" t="s">
        <v>74</v>
      </c>
      <c r="B48" s="84" t="s">
        <v>75</v>
      </c>
      <c r="C48" s="30" t="n">
        <v>46066</v>
      </c>
      <c r="D48" s="30" t="n">
        <v>8667</v>
      </c>
      <c r="E48" s="30" t="n">
        <v>8926</v>
      </c>
      <c r="F48" s="30" t="n">
        <v>6936</v>
      </c>
      <c r="G48" s="30" t="n">
        <v>11594</v>
      </c>
      <c r="H48" s="31" t="n">
        <v>9731</v>
      </c>
      <c r="I48" s="31" t="n">
        <v>1577</v>
      </c>
      <c r="J48" s="31" t="n">
        <v>8623</v>
      </c>
      <c r="K48" s="31" t="n">
        <v>4837</v>
      </c>
      <c r="L48" s="32" t="n">
        <v>6988</v>
      </c>
      <c r="M48" s="33" t="n">
        <f aca="false">IFERROR(AVERAGEIF(C48:G48,"&gt;0"),0)</f>
        <v>16437.8</v>
      </c>
      <c r="N48" s="34" t="n">
        <f aca="false">IFERROR(AVERAGEIF(H48:K48,"&gt;0"),0)</f>
        <v>6192</v>
      </c>
      <c r="O48" s="76" t="n">
        <f aca="false">N48-M48</f>
        <v>-10245.8</v>
      </c>
      <c r="P48" s="77" t="n">
        <f aca="false">IFERROR(N48/M48,"n/a")</f>
        <v>0.376692744771198</v>
      </c>
      <c r="Q48" s="69" t="n">
        <f aca="false">IFERROR(N48/$C$3,0)</f>
        <v>2.03173211297968E-005</v>
      </c>
      <c r="R48" s="69" t="n">
        <f aca="false">IFERROR(O48/$D$4,0)</f>
        <v>-0.000102550062472684</v>
      </c>
      <c r="S48" s="78" t="n">
        <f aca="false">IFERROR((Q48+R48)/2,0)</f>
        <v>-4.11163706714435E-005</v>
      </c>
      <c r="T48" s="79"/>
      <c r="U48" s="58" t="n">
        <f aca="false">IFERROR(POWER(K48/C48,1/8)-1,"n/a")</f>
        <v>-0.245517018569043</v>
      </c>
      <c r="V48" s="58" t="n">
        <f aca="false">IFERROR(POWER(K48/H48,1/3)-1,"n/a")</f>
        <v>-0.20785222818695</v>
      </c>
      <c r="W48" s="71" t="n">
        <f aca="false">IFERROR(V48-U48,"n/a")</f>
        <v>0.037664790382093</v>
      </c>
      <c r="X48" s="59" t="n">
        <f aca="false">IFERROR(SLOPE(C48:K48,{1,2,3,4,5,6,7,8,9})/AVERAGEIF(C48:K48,"&gt;0"),"n/a")</f>
        <v>-0.248161878137943</v>
      </c>
      <c r="Y48" s="59" t="n">
        <f aca="false">IFERROR(SLOPE(H48:K48,{1,2,3,4})/AVERAGEIF(H48:K48,"&gt;0"),"n/a")</f>
        <v>-0.123320413436693</v>
      </c>
      <c r="Z48" s="45" t="n">
        <f aca="false">IFERROR(H48/G48,"n/a")</f>
        <v>0.839313437985165</v>
      </c>
      <c r="AA48" s="45" t="n">
        <f aca="false">IFERROR(H48/F48,"n/a")</f>
        <v>1.40297001153403</v>
      </c>
      <c r="AB48" s="56" t="n">
        <v>1.24633936261843</v>
      </c>
      <c r="AC48" s="47" t="s">
        <v>121</v>
      </c>
      <c r="AD48" s="48" t="n">
        <v>0.05</v>
      </c>
      <c r="AE48" s="49" t="s">
        <v>122</v>
      </c>
    </row>
    <row r="49" customFormat="false" ht="16.5" hidden="false" customHeight="true" outlineLevel="0" collapsed="false">
      <c r="A49" s="83" t="s">
        <v>251</v>
      </c>
      <c r="B49" s="84" t="s">
        <v>252</v>
      </c>
      <c r="C49" s="30" t="n">
        <v>31811</v>
      </c>
      <c r="D49" s="30" t="n">
        <v>4621</v>
      </c>
      <c r="E49" s="30" t="n">
        <v>51555</v>
      </c>
      <c r="F49" s="30" t="n">
        <v>16719</v>
      </c>
      <c r="G49" s="30" t="n">
        <v>3097</v>
      </c>
      <c r="H49" s="31" t="n">
        <v>11738</v>
      </c>
      <c r="I49" s="31" t="n">
        <v>8412</v>
      </c>
      <c r="J49" s="31" t="n">
        <v>2080</v>
      </c>
      <c r="K49" s="31" t="n">
        <v>231</v>
      </c>
      <c r="L49" s="32" t="n">
        <v>61872</v>
      </c>
      <c r="M49" s="33" t="n">
        <f aca="false">IFERROR(AVERAGEIF(C49:G49,"&gt;0"),0)</f>
        <v>21560.6</v>
      </c>
      <c r="N49" s="34" t="n">
        <f aca="false">IFERROR(AVERAGEIF(H49:K49,"&gt;0"),0)</f>
        <v>5615.25</v>
      </c>
      <c r="O49" s="76" t="n">
        <f aca="false">N49-M49</f>
        <v>-15945.35</v>
      </c>
      <c r="P49" s="77" t="n">
        <f aca="false">IFERROR(N49/M49,"n/a")</f>
        <v>0.260440340250271</v>
      </c>
      <c r="Q49" s="69" t="n">
        <f aca="false">IFERROR(N49/$C$3,0)</f>
        <v>1.8424876853051E-005</v>
      </c>
      <c r="R49" s="69" t="n">
        <f aca="false">IFERROR(O49/$D$4,0)</f>
        <v>-0.000159596775132133</v>
      </c>
      <c r="S49" s="78" t="n">
        <f aca="false">IFERROR((Q49+R49)/2,0)</f>
        <v>-7.0585949139541E-005</v>
      </c>
      <c r="T49" s="79"/>
      <c r="U49" s="58" t="n">
        <f aca="false">IFERROR(POWER(K49/C49,1/8)-1,"n/a")</f>
        <v>-0.459707010706685</v>
      </c>
      <c r="V49" s="58" t="n">
        <f aca="false">IFERROR(POWER(K49/H49,1/3)-1,"n/a")</f>
        <v>-0.730015214129404</v>
      </c>
      <c r="W49" s="53" t="n">
        <f aca="false">IFERROR(V49-U49,"n/a")</f>
        <v>-0.270308203422719</v>
      </c>
      <c r="X49" s="59" t="n">
        <f aca="false">IFERROR(SLOPE(C49:K49,{1,2,3,4,5,6,7,8,9})/AVERAGEIF(C49:K49,"&gt;0"),"n/a")</f>
        <v>-0.259331050789167</v>
      </c>
      <c r="Y49" s="59" t="n">
        <f aca="false">IFERROR(SLOPE(H49:K49,{1,2,3,4})/AVERAGEIF(H49:K49,"&gt;0"),"n/a")</f>
        <v>-0.727536619028538</v>
      </c>
      <c r="Z49" s="54" t="n">
        <f aca="false">IFERROR(H49/G49,"n/a")</f>
        <v>3.79011947045528</v>
      </c>
      <c r="AA49" s="45" t="n">
        <f aca="false">IFERROR(H49/F49,"n/a")</f>
        <v>0.702075482983432</v>
      </c>
      <c r="AB49" s="56" t="n">
        <v>9.74685009572147</v>
      </c>
      <c r="AC49" s="47" t="s">
        <v>338</v>
      </c>
      <c r="AD49" s="48" t="n">
        <v>0.016</v>
      </c>
      <c r="AE49" s="49" t="s">
        <v>339</v>
      </c>
    </row>
    <row r="50" customFormat="false" ht="16.5" hidden="false" customHeight="true" outlineLevel="0" collapsed="false">
      <c r="A50" s="83" t="s">
        <v>82</v>
      </c>
      <c r="B50" s="84" t="s">
        <v>83</v>
      </c>
      <c r="C50" s="30" t="n">
        <v>13590</v>
      </c>
      <c r="D50" s="30" t="n">
        <v>3668</v>
      </c>
      <c r="E50" s="30" t="n">
        <v>1780</v>
      </c>
      <c r="F50" s="30" t="n">
        <v>3153</v>
      </c>
      <c r="G50" s="30" t="n">
        <v>1233</v>
      </c>
      <c r="H50" s="31" t="n">
        <v>4756</v>
      </c>
      <c r="I50" s="31" t="n">
        <v>805</v>
      </c>
      <c r="J50" s="31" t="n">
        <v>7520</v>
      </c>
      <c r="K50" s="31" t="n">
        <v>2489</v>
      </c>
      <c r="L50" s="32" t="n">
        <v>6618</v>
      </c>
      <c r="M50" s="33" t="n">
        <f aca="false">IFERROR(AVERAGEIF(C50:G50,"&gt;0"),0)</f>
        <v>4684.8</v>
      </c>
      <c r="N50" s="34" t="n">
        <f aca="false">IFERROR(AVERAGEIF(H50:K50,"&gt;0"),0)</f>
        <v>3892.5</v>
      </c>
      <c r="O50" s="76" t="n">
        <f aca="false">N50-M50</f>
        <v>-792.3</v>
      </c>
      <c r="P50" s="77" t="n">
        <f aca="false">IFERROR(N50/M50,"n/a")</f>
        <v>0.830878586065574</v>
      </c>
      <c r="Q50" s="69" t="n">
        <f aca="false">IFERROR(N50/$C$3,0)</f>
        <v>1.27721531811586E-005</v>
      </c>
      <c r="R50" s="69" t="n">
        <f aca="false">IFERROR(O50/$D$4,0)</f>
        <v>-7.93011912169936E-006</v>
      </c>
      <c r="S50" s="78" t="n">
        <f aca="false">IFERROR((Q50+R50)/2,0)</f>
        <v>2.42101702972962E-006</v>
      </c>
      <c r="T50" s="79"/>
      <c r="U50" s="58" t="n">
        <f aca="false">IFERROR(POWER(K50/C50,1/8)-1,"n/a")</f>
        <v>-0.191182238008055</v>
      </c>
      <c r="V50" s="58" t="n">
        <f aca="false">IFERROR(POWER(K50/H50,1/3)-1,"n/a")</f>
        <v>-0.194137369922188</v>
      </c>
      <c r="W50" s="53" t="n">
        <f aca="false">IFERROR(V50-U50,"n/a")</f>
        <v>-0.00295513191413277</v>
      </c>
      <c r="X50" s="59" t="n">
        <f aca="false">IFERROR(SLOPE(C50:K50,{1,2,3,4,5,6,7,8,9})/AVERAGEIF(C50:K50,"&gt;0"),"n/a")</f>
        <v>-0.127692721957224</v>
      </c>
      <c r="Y50" s="59" t="n">
        <f aca="false">IFERROR(SLOPE(H50:K50,{1,2,3,4})/AVERAGEIF(H50:K50,"&gt;0"),"n/a")</f>
        <v>-0.00220937700706487</v>
      </c>
      <c r="Z50" s="54" t="n">
        <f aca="false">IFERROR(H50/G50,"n/a")</f>
        <v>3.85725871857259</v>
      </c>
      <c r="AA50" s="67" t="n">
        <f aca="false">IFERROR(H50/F50,"n/a")</f>
        <v>1.50840469394228</v>
      </c>
      <c r="AB50" s="56" t="n">
        <v>2.20817812031685</v>
      </c>
      <c r="AC50" s="47" t="s">
        <v>340</v>
      </c>
      <c r="AD50" s="48" t="n">
        <v>0.0275</v>
      </c>
      <c r="AE50" s="49" t="s">
        <v>341</v>
      </c>
    </row>
    <row r="51" customFormat="false" ht="16.5" hidden="false" customHeight="true" outlineLevel="0" collapsed="false">
      <c r="A51" s="83" t="s">
        <v>238</v>
      </c>
      <c r="B51" s="84" t="s">
        <v>239</v>
      </c>
      <c r="C51" s="30" t="n">
        <v>9465</v>
      </c>
      <c r="D51" s="30" t="n">
        <v>3173</v>
      </c>
      <c r="E51" s="30" t="n">
        <v>4197</v>
      </c>
      <c r="F51" s="30" t="n">
        <v>6549</v>
      </c>
      <c r="G51" s="30" t="n">
        <v>1902</v>
      </c>
      <c r="H51" s="31" t="n">
        <v>4527</v>
      </c>
      <c r="I51" s="31" t="n">
        <v>3334</v>
      </c>
      <c r="J51" s="31" t="n">
        <v>1985</v>
      </c>
      <c r="K51" s="31" t="n">
        <v>5498</v>
      </c>
      <c r="L51" s="32" t="n">
        <v>15370</v>
      </c>
      <c r="M51" s="33" t="n">
        <f aca="false">IFERROR(AVERAGEIF(C51:G51,"&gt;0"),0)</f>
        <v>5057.2</v>
      </c>
      <c r="N51" s="34" t="n">
        <f aca="false">IFERROR(AVERAGEIF(H51:K51,"&gt;0"),0)</f>
        <v>3836</v>
      </c>
      <c r="O51" s="76" t="n">
        <f aca="false">N51-M51</f>
        <v>-1221.2</v>
      </c>
      <c r="P51" s="77" t="n">
        <f aca="false">IFERROR(N51/M51,"n/a")</f>
        <v>0.758522502570593</v>
      </c>
      <c r="Q51" s="69" t="n">
        <f aca="false">IFERROR(N51/$C$3,0)</f>
        <v>1.25867641882914E-005</v>
      </c>
      <c r="R51" s="69" t="n">
        <f aca="false">IFERROR(O51/$D$4,0)</f>
        <v>-1.22229729539559E-005</v>
      </c>
      <c r="S51" s="78" t="n">
        <f aca="false">IFERROR((Q51+R51)/2,0)</f>
        <v>1.81895617167768E-007</v>
      </c>
      <c r="T51" s="79"/>
      <c r="U51" s="58" t="n">
        <f aca="false">IFERROR(POWER(K51/C51,1/8)-1,"n/a")</f>
        <v>-0.0656480105339912</v>
      </c>
      <c r="V51" s="40" t="n">
        <f aca="false">IFERROR(POWER(K51/H51,1/3)-1,"n/a")</f>
        <v>0.066918912621474</v>
      </c>
      <c r="W51" s="42" t="n">
        <f aca="false">IFERROR(V51-U51,"n/a")</f>
        <v>0.132566923155465</v>
      </c>
      <c r="X51" s="59" t="n">
        <f aca="false">IFERROR(SLOPE(C51:K51,{1,2,3,4,5,6,7,8,9})/AVERAGEIF(C51:K51,"&gt;0"),"n/a")</f>
        <v>-0.0855771597341866</v>
      </c>
      <c r="Y51" s="43" t="n">
        <f aca="false">IFERROR(SLOPE(H51:K51,{1,2,3,4})/AVERAGEIF(H51:K51,"&gt;0"),"n/a")</f>
        <v>0.0407716371220021</v>
      </c>
      <c r="Z51" s="80" t="n">
        <f aca="false">IFERROR(H51/G51,"n/a")</f>
        <v>2.3801261829653</v>
      </c>
      <c r="AA51" s="45" t="n">
        <f aca="false">IFERROR(H51/F51,"n/a")</f>
        <v>0.691250572606505</v>
      </c>
      <c r="AB51" s="56" t="n">
        <v>15.9475147723323</v>
      </c>
      <c r="AC51" s="47" t="s">
        <v>342</v>
      </c>
      <c r="AD51" s="48" t="n">
        <v>0.1</v>
      </c>
      <c r="AE51" s="66" t="s">
        <v>165</v>
      </c>
    </row>
    <row r="52" customFormat="false" ht="16.5" hidden="false" customHeight="true" outlineLevel="0" collapsed="false">
      <c r="A52" s="83" t="s">
        <v>168</v>
      </c>
      <c r="B52" s="84" t="s">
        <v>169</v>
      </c>
      <c r="C52" s="30" t="n">
        <v>92</v>
      </c>
      <c r="D52" s="30" t="n">
        <v>3606</v>
      </c>
      <c r="E52" s="30" t="n">
        <v>32073</v>
      </c>
      <c r="F52" s="30" t="n">
        <v>8571</v>
      </c>
      <c r="G52" s="30" t="n">
        <v>9048</v>
      </c>
      <c r="H52" s="31" t="n">
        <v>6242</v>
      </c>
      <c r="I52" s="31" t="n">
        <v>81</v>
      </c>
      <c r="J52" s="31" t="n">
        <v>2967</v>
      </c>
      <c r="K52" s="31" t="n">
        <v>3220</v>
      </c>
      <c r="L52" s="50" t="s">
        <v>84</v>
      </c>
      <c r="M52" s="33" t="n">
        <f aca="false">IFERROR(AVERAGEIF(C52:G52,"&gt;0"),0)</f>
        <v>10678</v>
      </c>
      <c r="N52" s="34" t="n">
        <f aca="false">IFERROR(AVERAGEIF(H52:K52,"&gt;0"),0)</f>
        <v>3127.5</v>
      </c>
      <c r="O52" s="76" t="n">
        <f aca="false">N52-M52</f>
        <v>-7550.5</v>
      </c>
      <c r="P52" s="77" t="n">
        <f aca="false">IFERROR(N52/M52,"n/a")</f>
        <v>0.292891927327215</v>
      </c>
      <c r="Q52" s="69" t="n">
        <f aca="false">IFERROR(N52/$C$3,0)</f>
        <v>1.02620190299482E-005</v>
      </c>
      <c r="R52" s="69" t="n">
        <f aca="false">IFERROR(O52/$D$4,0)</f>
        <v>-7.55728441605339E-005</v>
      </c>
      <c r="S52" s="78" t="n">
        <f aca="false">IFERROR((Q52+R52)/2,0)</f>
        <v>-3.26554125652928E-005</v>
      </c>
      <c r="T52" s="79"/>
      <c r="U52" s="41" t="n">
        <f aca="false">IFERROR(POWER(K52/C52,1/8)-1,"n/a")</f>
        <v>0.559583046553722</v>
      </c>
      <c r="V52" s="58" t="n">
        <f aca="false">IFERROR(POWER(K52/H52,1/3)-1,"n/a")</f>
        <v>-0.197994458413592</v>
      </c>
      <c r="W52" s="53" t="n">
        <f aca="false">IFERROR(V52-U52,"n/a")</f>
        <v>-0.757577504967314</v>
      </c>
      <c r="X52" s="59" t="n">
        <f aca="false">IFERROR(SLOPE(C52:K52,{1,2,3,4,5,6,7,8,9})/AVERAGEIF(C52:K52,"&gt;0"),"n/a")</f>
        <v>-0.126823975720789</v>
      </c>
      <c r="Y52" s="59" t="n">
        <f aca="false">IFERROR(SLOPE(H52:K52,{1,2,3,4})/AVERAGEIF(H52:K52,"&gt;0"),"n/a")</f>
        <v>-0.197601918465228</v>
      </c>
      <c r="Z52" s="45" t="n">
        <f aca="false">IFERROR(H52/G52,"n/a")</f>
        <v>0.689876215738285</v>
      </c>
      <c r="AA52" s="45" t="n">
        <f aca="false">IFERROR(H52/F52,"n/a")</f>
        <v>0.728269746820674</v>
      </c>
      <c r="AB52" s="56" t="n">
        <v>2.08057553956835</v>
      </c>
      <c r="AC52" s="47" t="s">
        <v>76</v>
      </c>
      <c r="AD52" s="48" t="n">
        <v>0.04</v>
      </c>
      <c r="AE52" s="49" t="s">
        <v>77</v>
      </c>
    </row>
    <row r="53" customFormat="false" ht="16.5" hidden="false" customHeight="true" outlineLevel="0" collapsed="false">
      <c r="A53" s="83" t="s">
        <v>222</v>
      </c>
      <c r="B53" s="84" t="s">
        <v>223</v>
      </c>
      <c r="C53" s="30" t="n">
        <v>1798</v>
      </c>
      <c r="D53" s="30" t="n">
        <v>3510</v>
      </c>
      <c r="E53" s="30" t="n">
        <v>1376</v>
      </c>
      <c r="F53" s="30" t="n">
        <v>1548</v>
      </c>
      <c r="G53" s="30" t="n">
        <v>2321</v>
      </c>
      <c r="H53" s="31" t="n">
        <v>2080</v>
      </c>
      <c r="I53" s="31" t="n">
        <v>1072</v>
      </c>
      <c r="J53" s="31" t="n">
        <v>639</v>
      </c>
      <c r="K53" s="31" t="n">
        <v>3094</v>
      </c>
      <c r="L53" s="32" t="n">
        <v>2580</v>
      </c>
      <c r="M53" s="33" t="n">
        <f aca="false">IFERROR(AVERAGEIF(C53:G53,"&gt;0"),0)</f>
        <v>2110.6</v>
      </c>
      <c r="N53" s="34" t="n">
        <f aca="false">IFERROR(AVERAGEIF(H53:K53,"&gt;0"),0)</f>
        <v>1721.25</v>
      </c>
      <c r="O53" s="76" t="n">
        <f aca="false">N53-M53</f>
        <v>-389.35</v>
      </c>
      <c r="P53" s="77" t="n">
        <f aca="false">IFERROR(N53/M53,"n/a")</f>
        <v>0.81552639059983</v>
      </c>
      <c r="Q53" s="69" t="n">
        <f aca="false">IFERROR(N53/$C$3,0)</f>
        <v>5.64780184022331E-006</v>
      </c>
      <c r="R53" s="69" t="n">
        <f aca="false">IFERROR(O53/$D$4,0)</f>
        <v>-3.89699846022169E-006</v>
      </c>
      <c r="S53" s="78" t="n">
        <f aca="false">IFERROR((Q53+R53)/2,0)</f>
        <v>8.75401690000812E-007</v>
      </c>
      <c r="T53" s="79"/>
      <c r="U53" s="40" t="n">
        <f aca="false">IFERROR(POWER(K53/C53,1/8)-1,"n/a")</f>
        <v>0.0702034033672816</v>
      </c>
      <c r="V53" s="40" t="n">
        <f aca="false">IFERROR(POWER(K53/H53,1/3)-1,"n/a")</f>
        <v>0.141525606976263</v>
      </c>
      <c r="W53" s="71" t="n">
        <f aca="false">IFERROR(V53-U53,"n/a")</f>
        <v>0.0713222036089818</v>
      </c>
      <c r="X53" s="59" t="n">
        <f aca="false">IFERROR(SLOPE(C53:K53,{1,2,3,4,5,6,7,8,9})/AVERAGEIF(C53:K53,"&gt;0"),"n/a")</f>
        <v>-0.0301496731276523</v>
      </c>
      <c r="Y53" s="43" t="n">
        <f aca="false">IFERROR(SLOPE(H53:K53,{1,2,3,4})/AVERAGEIF(H53:K53,"&gt;0"),"n/a")</f>
        <v>0.151575889615105</v>
      </c>
      <c r="Z53" s="45" t="n">
        <f aca="false">IFERROR(H53/G53,"n/a")</f>
        <v>0.896165445928479</v>
      </c>
      <c r="AA53" s="45" t="n">
        <f aca="false">IFERROR(H53/F53,"n/a")</f>
        <v>1.34366925064599</v>
      </c>
      <c r="AB53" s="56" t="n">
        <v>3.84642943597192</v>
      </c>
      <c r="AC53" s="47" t="s">
        <v>172</v>
      </c>
      <c r="AD53" s="65" t="n">
        <v>0.15</v>
      </c>
      <c r="AE53" s="66" t="s">
        <v>173</v>
      </c>
    </row>
    <row r="54" customFormat="false" ht="16.5" hidden="false" customHeight="true" outlineLevel="0" collapsed="false">
      <c r="A54" s="83" t="s">
        <v>263</v>
      </c>
      <c r="B54" s="84" t="s">
        <v>264</v>
      </c>
      <c r="C54" s="30" t="n">
        <v>2987</v>
      </c>
      <c r="D54" s="30" t="n">
        <v>34</v>
      </c>
      <c r="E54" s="30" t="n">
        <v>970</v>
      </c>
      <c r="F54" s="30" t="n">
        <v>2309</v>
      </c>
      <c r="G54" s="30" t="n">
        <v>2666</v>
      </c>
      <c r="H54" s="31" t="n">
        <v>352</v>
      </c>
      <c r="I54" s="31" t="n">
        <v>907</v>
      </c>
      <c r="J54" s="31" t="n">
        <v>944</v>
      </c>
      <c r="K54" s="31" t="n">
        <v>4114</v>
      </c>
      <c r="L54" s="32" t="n">
        <v>1822</v>
      </c>
      <c r="M54" s="33" t="n">
        <f aca="false">IFERROR(AVERAGEIF(C54:G54,"&gt;0"),0)</f>
        <v>1793.2</v>
      </c>
      <c r="N54" s="34" t="n">
        <f aca="false">IFERROR(AVERAGEIF(H54:K54,"&gt;0"),0)</f>
        <v>1579.25</v>
      </c>
      <c r="O54" s="76" t="n">
        <f aca="false">N54-M54</f>
        <v>-213.95</v>
      </c>
      <c r="P54" s="77" t="n">
        <f aca="false">IFERROR(N54/M54,"n/a")</f>
        <v>0.880688155253179</v>
      </c>
      <c r="Q54" s="69" t="n">
        <f aca="false">IFERROR(N54/$C$3,0)</f>
        <v>5.18186844222087E-006</v>
      </c>
      <c r="R54" s="69" t="n">
        <f aca="false">IFERROR(O54/$D$4,0)</f>
        <v>-2.14142242343504E-006</v>
      </c>
      <c r="S54" s="78" t="n">
        <f aca="false">IFERROR((Q54+R54)/2,0)</f>
        <v>1.52022300939292E-006</v>
      </c>
      <c r="T54" s="79"/>
      <c r="U54" s="70" t="n">
        <f aca="false">IFERROR(POWER(K54/C54,1/8)-1,"n/a")</f>
        <v>0.0408271998768144</v>
      </c>
      <c r="V54" s="41" t="n">
        <f aca="false">IFERROR(POWER(K54/H54,1/3)-1,"n/a")</f>
        <v>1.26937992080871</v>
      </c>
      <c r="W54" s="42" t="n">
        <f aca="false">IFERROR(V54-U54,"n/a")</f>
        <v>1.2285527209319</v>
      </c>
      <c r="X54" s="43" t="n">
        <f aca="false">IFERROR(SLOPE(C54:K54,{1,2,3,4,5,6,7,8,9})/AVERAGEIF(C54:K54,"&gt;0"),"n/a")</f>
        <v>0.0505954328338677</v>
      </c>
      <c r="Y54" s="43" t="n">
        <f aca="false">IFERROR(SLOPE(H54:K54,{1,2,3,4})/AVERAGEIF(H54:K54,"&gt;0"),"n/a")</f>
        <v>0.716985911033719</v>
      </c>
      <c r="Z54" s="45" t="n">
        <f aca="false">IFERROR(H54/G54,"n/a")</f>
        <v>0.132033008252063</v>
      </c>
      <c r="AA54" s="45" t="n">
        <f aca="false">IFERROR(H54/F54,"n/a")</f>
        <v>0.152446946730186</v>
      </c>
      <c r="AB54" s="56" t="n">
        <v>14.2417814363358</v>
      </c>
      <c r="AC54" s="47" t="s">
        <v>125</v>
      </c>
      <c r="AD54" s="48" t="n">
        <v>0.06</v>
      </c>
      <c r="AE54" s="49" t="s">
        <v>126</v>
      </c>
    </row>
    <row r="55" customFormat="false" ht="16.5" hidden="false" customHeight="true" outlineLevel="0" collapsed="false">
      <c r="A55" s="83" t="s">
        <v>192</v>
      </c>
      <c r="B55" s="84" t="s">
        <v>193</v>
      </c>
      <c r="C55" s="30" t="n">
        <v>18679</v>
      </c>
      <c r="D55" s="30" t="n">
        <v>34521</v>
      </c>
      <c r="E55" s="30" t="n">
        <v>20414</v>
      </c>
      <c r="F55" s="30" t="n">
        <v>18511</v>
      </c>
      <c r="G55" s="30" t="n">
        <v>12968</v>
      </c>
      <c r="H55" s="31" t="n">
        <v>812</v>
      </c>
      <c r="I55" s="31" t="n">
        <v>783</v>
      </c>
      <c r="J55" s="31" t="n">
        <v>75</v>
      </c>
      <c r="K55" s="31" t="n">
        <v>4292</v>
      </c>
      <c r="L55" s="32" t="n">
        <v>4845</v>
      </c>
      <c r="M55" s="33" t="n">
        <f aca="false">IFERROR(AVERAGEIF(C55:G55,"&gt;0"),0)</f>
        <v>21018.6</v>
      </c>
      <c r="N55" s="34" t="n">
        <f aca="false">IFERROR(AVERAGEIF(H55:K55,"&gt;0"),0)</f>
        <v>1490.5</v>
      </c>
      <c r="O55" s="76" t="n">
        <f aca="false">N55-M55</f>
        <v>-19528.1</v>
      </c>
      <c r="P55" s="77" t="n">
        <f aca="false">IFERROR(N55/M55,"n/a")</f>
        <v>0.0709133814811643</v>
      </c>
      <c r="Q55" s="69" t="n">
        <f aca="false">IFERROR(N55/$C$3,0)</f>
        <v>4.89066006846934E-006</v>
      </c>
      <c r="R55" s="69" t="n">
        <f aca="false">IFERROR(O55/$D$4,0)</f>
        <v>-0.000195456467525505</v>
      </c>
      <c r="S55" s="78" t="n">
        <f aca="false">IFERROR((Q55+R55)/2,0)</f>
        <v>-9.52829037285176E-005</v>
      </c>
      <c r="T55" s="79"/>
      <c r="U55" s="58" t="n">
        <f aca="false">IFERROR(POWER(K55/C55,1/8)-1,"n/a")</f>
        <v>-0.167923490767003</v>
      </c>
      <c r="V55" s="41" t="n">
        <f aca="false">IFERROR(POWER(K55/H55,1/3)-1,"n/a")</f>
        <v>0.741945492684479</v>
      </c>
      <c r="W55" s="42" t="n">
        <f aca="false">IFERROR(V55-U55,"n/a")</f>
        <v>0.909868983451483</v>
      </c>
      <c r="X55" s="59" t="n">
        <f aca="false">IFERROR(SLOPE(C55:K55,{1,2,3,4,5,6,7,8,9})/AVERAGEIF(C55:K55,"&gt;0"),"n/a")</f>
        <v>-0.294242042231327</v>
      </c>
      <c r="Y55" s="43" t="n">
        <f aca="false">IFERROR(SLOPE(H55:K55,{1,2,3,4})/AVERAGEIF(H55:K55,"&gt;0"),"n/a")</f>
        <v>0.652935256625294</v>
      </c>
      <c r="Z55" s="45" t="n">
        <f aca="false">IFERROR(H55/G55,"n/a")</f>
        <v>0.0626156693399136</v>
      </c>
      <c r="AA55" s="45" t="n">
        <f aca="false">IFERROR(H55/F55,"n/a")</f>
        <v>0.0438658095186646</v>
      </c>
      <c r="AB55" s="56" t="n">
        <v>19.3040366767304</v>
      </c>
      <c r="AC55" s="47" t="s">
        <v>164</v>
      </c>
      <c r="AD55" s="48" t="n">
        <v>0.1</v>
      </c>
      <c r="AE55" s="66" t="s">
        <v>165</v>
      </c>
    </row>
    <row r="56" customFormat="false" ht="16.5" hidden="false" customHeight="true" outlineLevel="0" collapsed="false">
      <c r="A56" s="83" t="s">
        <v>202</v>
      </c>
      <c r="B56" s="84" t="s">
        <v>203</v>
      </c>
      <c r="C56" s="30" t="n">
        <v>297</v>
      </c>
      <c r="D56" s="30" t="n">
        <v>2688</v>
      </c>
      <c r="E56" s="50" t="s">
        <v>84</v>
      </c>
      <c r="F56" s="30" t="n">
        <v>30</v>
      </c>
      <c r="G56" s="50" t="s">
        <v>84</v>
      </c>
      <c r="H56" s="31" t="n">
        <v>149</v>
      </c>
      <c r="I56" s="31" t="n">
        <v>260</v>
      </c>
      <c r="J56" s="31" t="n">
        <v>1871</v>
      </c>
      <c r="K56" s="31" t="n">
        <v>714</v>
      </c>
      <c r="L56" s="32" t="n">
        <v>5759</v>
      </c>
      <c r="M56" s="33" t="n">
        <f aca="false">IFERROR(AVERAGEIF(C56:G56,"&gt;0"),0)</f>
        <v>1005</v>
      </c>
      <c r="N56" s="34" t="n">
        <f aca="false">IFERROR(AVERAGEIF(H56:K56,"&gt;0"),0)</f>
        <v>748.5</v>
      </c>
      <c r="O56" s="76" t="n">
        <f aca="false">N56-M56</f>
        <v>-256.5</v>
      </c>
      <c r="P56" s="77" t="n">
        <f aca="false">IFERROR(N56/M56,"n/a")</f>
        <v>0.744776119402985</v>
      </c>
      <c r="Q56" s="69" t="n">
        <f aca="false">IFERROR(N56/$C$3,0)</f>
        <v>2.45599400285092E-006</v>
      </c>
      <c r="R56" s="69" t="n">
        <f aca="false">IFERROR(O56/$D$4,0)</f>
        <v>-2.56730475162929E-006</v>
      </c>
      <c r="S56" s="78" t="n">
        <f aca="false">IFERROR((Q56+R56)/2,0)</f>
        <v>-5.56553743891835E-008</v>
      </c>
      <c r="T56" s="79"/>
      <c r="U56" s="40" t="n">
        <f aca="false">IFERROR(POWER(K56/C56,1/8)-1,"n/a")</f>
        <v>0.115880582094648</v>
      </c>
      <c r="V56" s="41" t="n">
        <f aca="false">IFERROR(POWER(K56/H56,1/3)-1,"n/a")</f>
        <v>0.685921365475988</v>
      </c>
      <c r="W56" s="42" t="n">
        <f aca="false">IFERROR(V56-U56,"n/a")</f>
        <v>0.57004078338134</v>
      </c>
      <c r="X56" s="59" t="n">
        <f aca="false">IFERROR(SLOPE(C56:K56,{1,2,3,4,5,6,7,8,9})/AVERAGEIF(C56:K56,"&gt;0"),"n/a")</f>
        <v>-0.0391088624794767</v>
      </c>
      <c r="Y56" s="43" t="n">
        <f aca="false">IFERROR(SLOPE(H56:K56,{1,2,3,4})/AVERAGEIF(H56:K56,"&gt;0"),"n/a")</f>
        <v>0.441683366733467</v>
      </c>
      <c r="Z56" s="45" t="str">
        <f aca="false">IFERROR(H56/G56,"n/a")</f>
        <v>n/a</v>
      </c>
      <c r="AA56" s="55" t="n">
        <f aca="false">IFERROR(H56/F56,"n/a")</f>
        <v>4.96666666666667</v>
      </c>
      <c r="AB56" s="56" t="n">
        <v>13.2059674905366</v>
      </c>
      <c r="AC56" s="47" t="s">
        <v>164</v>
      </c>
      <c r="AD56" s="48" t="n">
        <v>0.1</v>
      </c>
      <c r="AE56" s="66" t="s">
        <v>165</v>
      </c>
    </row>
    <row r="57" customFormat="false" ht="16.5" hidden="false" customHeight="true" outlineLevel="0" collapsed="false">
      <c r="A57" s="83" t="s">
        <v>299</v>
      </c>
      <c r="B57" s="84" t="s">
        <v>300</v>
      </c>
      <c r="C57" s="30" t="n">
        <v>6036</v>
      </c>
      <c r="D57" s="30" t="n">
        <v>532</v>
      </c>
      <c r="E57" s="30" t="n">
        <v>495</v>
      </c>
      <c r="F57" s="30" t="n">
        <v>38</v>
      </c>
      <c r="G57" s="50" t="s">
        <v>84</v>
      </c>
      <c r="H57" s="31" t="n">
        <v>1167</v>
      </c>
      <c r="I57" s="31" t="n">
        <v>269</v>
      </c>
      <c r="J57" s="50" t="s">
        <v>84</v>
      </c>
      <c r="K57" s="50" t="s">
        <v>84</v>
      </c>
      <c r="L57" s="50" t="s">
        <v>84</v>
      </c>
      <c r="M57" s="33" t="n">
        <f aca="false">IFERROR(AVERAGEIF(C57:G57,"&gt;0"),0)</f>
        <v>1775.25</v>
      </c>
      <c r="N57" s="34" t="n">
        <f aca="false">IFERROR(AVERAGEIF(H57:K57,"&gt;0"),0)</f>
        <v>718</v>
      </c>
      <c r="O57" s="76" t="n">
        <f aca="false">N57-M57</f>
        <v>-1057.25</v>
      </c>
      <c r="P57" s="77" t="n">
        <f aca="false">IFERROR(N57/M57,"n/a")</f>
        <v>0.40445007745388</v>
      </c>
      <c r="Q57" s="69" t="n">
        <f aca="false">IFERROR(N57/$C$3,0)</f>
        <v>2.35591675891378E-006</v>
      </c>
      <c r="R57" s="69" t="n">
        <f aca="false">IFERROR(O57/$D$4,0)</f>
        <v>-1.05819997998443E-005</v>
      </c>
      <c r="S57" s="78" t="n">
        <f aca="false">IFERROR((Q57+R57)/2,0)</f>
        <v>-4.11304152046527E-006</v>
      </c>
      <c r="T57" s="79"/>
      <c r="U57" s="58" t="str">
        <f aca="false">IFERROR(POWER(K57/C57,1/8)-1,"n/a")</f>
        <v>n/a</v>
      </c>
      <c r="V57" s="58" t="str">
        <f aca="false">IFERROR(POWER(K57/H57,1/3)-1,"n/a")</f>
        <v>n/a</v>
      </c>
      <c r="W57" s="53" t="str">
        <f aca="false">IFERROR(V57-U57,"n/a")</f>
        <v>n/a</v>
      </c>
      <c r="X57" s="59" t="n">
        <f aca="false">IFERROR(SLOPE(C57:K57,{1,2,3,4,5,6,7,8,9})/AVERAGEIF(C57:K57,"&gt;0"),"n/a")</f>
        <v>-0.395584583584645</v>
      </c>
      <c r="Y57" s="88" t="n">
        <f aca="false">IFERROR(SLOPE(H57:K57,{1,2,3,4})/AVERAGEIF(H57:K57,"&gt;0"),"n/a")</f>
        <v>-1.25069637883008</v>
      </c>
      <c r="Z57" s="45" t="str">
        <f aca="false">IFERROR(H57/G57,"n/a")</f>
        <v>n/a</v>
      </c>
      <c r="AA57" s="55" t="n">
        <f aca="false">IFERROR(H57/F57,"n/a")</f>
        <v>30.7105263157895</v>
      </c>
      <c r="AB57" s="45" t="n">
        <v>0.887186629526462</v>
      </c>
      <c r="AC57" s="47" t="s">
        <v>125</v>
      </c>
      <c r="AD57" s="48" t="n">
        <v>0.06</v>
      </c>
      <c r="AE57" s="49" t="s">
        <v>126</v>
      </c>
    </row>
    <row r="58" customFormat="false" ht="16.5" hidden="false" customHeight="true" outlineLevel="0" collapsed="false">
      <c r="A58" s="83" t="s">
        <v>291</v>
      </c>
      <c r="B58" s="84" t="s">
        <v>292</v>
      </c>
      <c r="C58" s="50" t="s">
        <v>84</v>
      </c>
      <c r="D58" s="50" t="s">
        <v>84</v>
      </c>
      <c r="E58" s="50" t="s">
        <v>84</v>
      </c>
      <c r="F58" s="30" t="n">
        <v>4640</v>
      </c>
      <c r="G58" s="30" t="n">
        <v>5781</v>
      </c>
      <c r="H58" s="50" t="s">
        <v>84</v>
      </c>
      <c r="I58" s="50" t="s">
        <v>84</v>
      </c>
      <c r="J58" s="50" t="s">
        <v>84</v>
      </c>
      <c r="K58" s="31" t="n">
        <v>317</v>
      </c>
      <c r="L58" s="32" t="n">
        <v>312</v>
      </c>
      <c r="M58" s="33" t="n">
        <f aca="false">IFERROR(AVERAGEIF(C58:G58,"&gt;0"),0)</f>
        <v>5210.5</v>
      </c>
      <c r="N58" s="34" t="n">
        <f aca="false">IFERROR(AVERAGEIF(H58:K58,"&gt;0"),0)</f>
        <v>317</v>
      </c>
      <c r="O58" s="76" t="n">
        <f aca="false">N58-M58</f>
        <v>-4893.5</v>
      </c>
      <c r="P58" s="77" t="n">
        <f aca="false">IFERROR(N58/M58,"n/a")</f>
        <v>0.0608386911045005</v>
      </c>
      <c r="Q58" s="69" t="n">
        <f aca="false">IFERROR(N58/$C$3,0)</f>
        <v>1.04014709272377E-006</v>
      </c>
      <c r="R58" s="69" t="n">
        <f aca="false">IFERROR(O58/$D$4,0)</f>
        <v>-4.89789699886859E-005</v>
      </c>
      <c r="S58" s="78" t="n">
        <f aca="false">IFERROR((Q58+R58)/2,0)</f>
        <v>-2.39694114479811E-005</v>
      </c>
      <c r="T58" s="79"/>
      <c r="U58" s="58" t="str">
        <f aca="false">IFERROR(POWER(K58/C58,1/8)-1,"n/a")</f>
        <v>n/a</v>
      </c>
      <c r="V58" s="70" t="str">
        <f aca="false">IFERROR(POWER(K58/H58,1/3)-1,"n/a")</f>
        <v>n/a</v>
      </c>
      <c r="W58" s="90" t="str">
        <f aca="false">IFERROR(V58-U58,"n/a")</f>
        <v>n/a</v>
      </c>
      <c r="X58" s="59" t="n">
        <f aca="false">IFERROR(SLOPE(C58:K58,{1,2,3,4,5,6,7,8,9})/AVERAGEIF(C58:K58,"&gt;0"),"n/a")</f>
        <v>-0.281576776734162</v>
      </c>
      <c r="Y58" s="88" t="str">
        <f aca="false">IFERROR(SLOPE(H58:K58,{1,2,3,4})/AVERAGEIF(H58:K58,"&gt;0"),"n/a")</f>
        <v>n/a</v>
      </c>
      <c r="Z58" s="45" t="str">
        <f aca="false">IFERROR(H58/G58,"n/a")</f>
        <v>n/a</v>
      </c>
      <c r="AA58" s="45" t="str">
        <f aca="false">IFERROR(H58/F58,"n/a")</f>
        <v>n/a</v>
      </c>
      <c r="AB58" s="56" t="n">
        <v>11.5394321766562</v>
      </c>
      <c r="AC58" s="47" t="s">
        <v>131</v>
      </c>
      <c r="AD58" s="48" t="n">
        <v>0.03</v>
      </c>
      <c r="AE58" s="49" t="s">
        <v>132</v>
      </c>
    </row>
    <row r="59" customFormat="false" ht="16.5" hidden="false" customHeight="true" outlineLevel="0" collapsed="false">
      <c r="A59" s="83" t="s">
        <v>206</v>
      </c>
      <c r="B59" s="84" t="s">
        <v>207</v>
      </c>
      <c r="C59" s="30" t="n">
        <v>1126</v>
      </c>
      <c r="D59" s="30" t="n">
        <v>985</v>
      </c>
      <c r="E59" s="30" t="n">
        <v>500</v>
      </c>
      <c r="F59" s="30" t="n">
        <v>40</v>
      </c>
      <c r="G59" s="30" t="n">
        <v>6</v>
      </c>
      <c r="H59" s="50" t="s">
        <v>84</v>
      </c>
      <c r="I59" s="50" t="s">
        <v>84</v>
      </c>
      <c r="J59" s="31" t="n">
        <v>213</v>
      </c>
      <c r="K59" s="31" t="n">
        <v>273</v>
      </c>
      <c r="L59" s="32" t="n">
        <v>532</v>
      </c>
      <c r="M59" s="33" t="n">
        <f aca="false">IFERROR(AVERAGEIF(C59:G59,"&gt;0"),0)</f>
        <v>531.4</v>
      </c>
      <c r="N59" s="34" t="n">
        <f aca="false">IFERROR(AVERAGEIF(H59:K59,"&gt;0"),0)</f>
        <v>243</v>
      </c>
      <c r="O59" s="76" t="n">
        <f aca="false">N59-M59</f>
        <v>-288.4</v>
      </c>
      <c r="P59" s="77" t="n">
        <f aca="false">IFERROR(N59/M59,"n/a")</f>
        <v>0.457282649604817</v>
      </c>
      <c r="Q59" s="69" t="n">
        <f aca="false">IFERROR(N59/$C$3,0)</f>
        <v>7.97336730384468E-007</v>
      </c>
      <c r="R59" s="69" t="n">
        <f aca="false">IFERROR(O59/$D$4,0)</f>
        <v>-2.88659138545765E-006</v>
      </c>
      <c r="S59" s="78" t="n">
        <f aca="false">IFERROR((Q59+R59)/2,0)</f>
        <v>-1.04462732753659E-006</v>
      </c>
      <c r="T59" s="79"/>
      <c r="U59" s="58" t="n">
        <f aca="false">IFERROR(POWER(K59/C59,1/8)-1,"n/a")</f>
        <v>-0.162320220884798</v>
      </c>
      <c r="V59" s="41" t="str">
        <f aca="false">IFERROR(POWER(K59/H59,1/3)-1,"n/a")</f>
        <v>n/a</v>
      </c>
      <c r="W59" s="42" t="str">
        <f aca="false">IFERROR(V59-U59,"n/a")</f>
        <v>n/a</v>
      </c>
      <c r="X59" s="59" t="n">
        <f aca="false">IFERROR(SLOPE(C59:K59,{1,2,3,4,5,6,7,8,9})/AVERAGEIF(C59:K59,"&gt;0"),"n/a")</f>
        <v>-0.22477254418803</v>
      </c>
      <c r="Y59" s="88" t="n">
        <f aca="false">IFERROR(SLOPE(H59:K59,{1,2,3,4})/AVERAGEIF(H59:K59,"&gt;0"),"n/a")</f>
        <v>0.246913580246914</v>
      </c>
      <c r="Z59" s="45" t="str">
        <f aca="false">IFERROR(H59/G59,"n/a")</f>
        <v>n/a</v>
      </c>
      <c r="AA59" s="45" t="str">
        <f aca="false">IFERROR(H59/F59,"n/a")</f>
        <v>n/a</v>
      </c>
      <c r="AB59" s="56" t="n">
        <v>154.636488340192</v>
      </c>
      <c r="AC59" s="47" t="s">
        <v>111</v>
      </c>
      <c r="AD59" s="48" t="n">
        <v>0.075</v>
      </c>
      <c r="AE59" s="49" t="s">
        <v>112</v>
      </c>
    </row>
    <row r="60" customFormat="false" ht="16.5" hidden="false" customHeight="true" outlineLevel="0" collapsed="false">
      <c r="A60" s="83" t="s">
        <v>176</v>
      </c>
      <c r="B60" s="84" t="s">
        <v>177</v>
      </c>
      <c r="C60" s="30" t="n">
        <v>118</v>
      </c>
      <c r="D60" s="30" t="n">
        <v>181</v>
      </c>
      <c r="E60" s="30" t="n">
        <v>1058</v>
      </c>
      <c r="F60" s="30" t="n">
        <v>900</v>
      </c>
      <c r="G60" s="30" t="n">
        <v>267</v>
      </c>
      <c r="H60" s="31" t="n">
        <v>452</v>
      </c>
      <c r="I60" s="31" t="n">
        <v>71</v>
      </c>
      <c r="J60" s="31" t="n">
        <v>138</v>
      </c>
      <c r="K60" s="31" t="n">
        <v>100</v>
      </c>
      <c r="L60" s="32" t="n">
        <v>37</v>
      </c>
      <c r="M60" s="33" t="n">
        <f aca="false">IFERROR(AVERAGEIF(C60:G60,"&gt;0"),0)</f>
        <v>504.8</v>
      </c>
      <c r="N60" s="34" t="n">
        <f aca="false">IFERROR(AVERAGEIF(H60:K60,"&gt;0"),0)</f>
        <v>190.25</v>
      </c>
      <c r="O60" s="76" t="n">
        <f aca="false">N60-M60</f>
        <v>-314.55</v>
      </c>
      <c r="P60" s="77" t="n">
        <f aca="false">IFERROR(N60/M60,"n/a")</f>
        <v>0.376881933438986</v>
      </c>
      <c r="Q60" s="69" t="n">
        <f aca="false">IFERROR(N60/$C$3,0)</f>
        <v>6.24252316689897E-007</v>
      </c>
      <c r="R60" s="69" t="n">
        <f aca="false">IFERROR(O60/$D$4,0)</f>
        <v>-3.14832635331381E-006</v>
      </c>
      <c r="S60" s="78" t="n">
        <f aca="false">IFERROR((Q60+R60)/2,0)</f>
        <v>-1.26203701831196E-006</v>
      </c>
      <c r="T60" s="79"/>
      <c r="U60" s="58" t="n">
        <f aca="false">IFERROR(POWER(K60/C60,1/8)-1,"n/a")</f>
        <v>-0.0204767495403614</v>
      </c>
      <c r="V60" s="58" t="n">
        <f aca="false">IFERROR(POWER(K60/H60,1/3)-1,"n/a")</f>
        <v>-0.395187829586678</v>
      </c>
      <c r="W60" s="53" t="n">
        <f aca="false">IFERROR(V60-U60,"n/a")</f>
        <v>-0.374711080046317</v>
      </c>
      <c r="X60" s="59" t="n">
        <f aca="false">IFERROR(SLOPE(C60:K60,{1,2,3,4,5,6,7,8,9})/AVERAGEIF(C60:K60,"&gt;0"),"n/a")</f>
        <v>-0.119771689497717</v>
      </c>
      <c r="Y60" s="59" t="n">
        <f aca="false">IFERROR(SLOPE(H60:K60,{1,2,3,4})/AVERAGEIF(H60:K60,"&gt;0"),"n/a")</f>
        <v>-0.519842312746386</v>
      </c>
      <c r="Z60" s="67" t="n">
        <f aca="false">IFERROR(H60/G60,"n/a")</f>
        <v>1.69288389513109</v>
      </c>
      <c r="AA60" s="45" t="n">
        <f aca="false">IFERROR(H60/F60,"n/a")</f>
        <v>0.502222222222222</v>
      </c>
      <c r="AB60" s="56" t="n">
        <v>1.14410862899693</v>
      </c>
      <c r="AC60" s="47" t="s">
        <v>328</v>
      </c>
      <c r="AD60" s="48" t="n">
        <v>0.0235</v>
      </c>
      <c r="AE60" s="49" t="s">
        <v>329</v>
      </c>
    </row>
    <row r="61" customFormat="false" ht="16.5" hidden="false" customHeight="true" outlineLevel="0" collapsed="false">
      <c r="A61" s="83" t="s">
        <v>293</v>
      </c>
      <c r="B61" s="84" t="s">
        <v>294</v>
      </c>
      <c r="C61" s="30" t="n">
        <v>257</v>
      </c>
      <c r="D61" s="30" t="n">
        <v>290</v>
      </c>
      <c r="E61" s="50" t="s">
        <v>84</v>
      </c>
      <c r="F61" s="50" t="s">
        <v>84</v>
      </c>
      <c r="G61" s="30" t="n">
        <v>53</v>
      </c>
      <c r="H61" s="31" t="n">
        <v>96</v>
      </c>
      <c r="I61" s="31" t="n">
        <v>102</v>
      </c>
      <c r="J61" s="31" t="n">
        <v>145</v>
      </c>
      <c r="K61" s="31" t="n">
        <v>75</v>
      </c>
      <c r="L61" s="32" t="n">
        <v>402</v>
      </c>
      <c r="M61" s="33" t="n">
        <f aca="false">IFERROR(AVERAGEIF(C61:G61,"&gt;0"),0)</f>
        <v>200</v>
      </c>
      <c r="N61" s="34" t="n">
        <f aca="false">IFERROR(AVERAGEIF(H61:K61,"&gt;0"),0)</f>
        <v>104.5</v>
      </c>
      <c r="O61" s="76" t="n">
        <f aca="false">N61-M61</f>
        <v>-95.5</v>
      </c>
      <c r="P61" s="77" t="n">
        <f aca="false">IFERROR(N61/M61,"n/a")</f>
        <v>0.5225</v>
      </c>
      <c r="Q61" s="69" t="n">
        <f aca="false">IFERROR(N61/$C$3,0)</f>
        <v>3.42887606276448E-007</v>
      </c>
      <c r="R61" s="69" t="n">
        <f aca="false">IFERROR(O61/$D$4,0)</f>
        <v>-9.55858104407786E-007</v>
      </c>
      <c r="S61" s="78" t="n">
        <f aca="false">IFERROR((Q61+R61)/2,0)</f>
        <v>-3.06485249065669E-007</v>
      </c>
      <c r="T61" s="79"/>
      <c r="U61" s="58" t="n">
        <f aca="false">IFERROR(POWER(K61/C61,1/8)-1,"n/a")</f>
        <v>-0.142683825273282</v>
      </c>
      <c r="V61" s="58" t="n">
        <f aca="false">IFERROR(POWER(K61/H61,1/3)-1,"n/a")</f>
        <v>-0.0789921253399033</v>
      </c>
      <c r="W61" s="71" t="n">
        <f aca="false">IFERROR(V61-U61,"n/a")</f>
        <v>0.063691699933379</v>
      </c>
      <c r="X61" s="59" t="n">
        <f aca="false">IFERROR(SLOPE(C61:K61,{1,2,3,4,5,6,7,8,9})/AVERAGEIF(C61:K61,"&gt;0"),"n/a")</f>
        <v>-0.166327906199055</v>
      </c>
      <c r="Y61" s="59" t="n">
        <f aca="false">IFERROR(SLOPE(H61:K61,{1,2,3,4})/AVERAGEIF(H61:K61,"&gt;0"),"n/a")</f>
        <v>-0.0191387559808612</v>
      </c>
      <c r="Z61" s="67" t="n">
        <f aca="false">IFERROR(H61/G61,"n/a")</f>
        <v>1.81132075471698</v>
      </c>
      <c r="AA61" s="45" t="str">
        <f aca="false">IFERROR(H61/F61,"n/a")</f>
        <v>n/a</v>
      </c>
      <c r="AB61" s="56" t="n">
        <v>4.79744816586922</v>
      </c>
      <c r="AC61" s="47" t="s">
        <v>131</v>
      </c>
      <c r="AD61" s="48" t="n">
        <v>0.03</v>
      </c>
      <c r="AE61" s="49" t="s">
        <v>132</v>
      </c>
    </row>
    <row r="62" customFormat="false" ht="16.5" hidden="false" customHeight="true" outlineLevel="0" collapsed="false">
      <c r="A62" s="83" t="s">
        <v>174</v>
      </c>
      <c r="B62" s="84" t="s">
        <v>175</v>
      </c>
      <c r="C62" s="50" t="s">
        <v>84</v>
      </c>
      <c r="D62" s="30" t="n">
        <v>2657</v>
      </c>
      <c r="E62" s="50" t="s">
        <v>84</v>
      </c>
      <c r="F62" s="50" t="s">
        <v>84</v>
      </c>
      <c r="G62" s="30" t="n">
        <v>5315</v>
      </c>
      <c r="H62" s="50" t="s">
        <v>84</v>
      </c>
      <c r="I62" s="31" t="n">
        <v>55</v>
      </c>
      <c r="J62" s="31" t="n">
        <v>20</v>
      </c>
      <c r="K62" s="50" t="s">
        <v>84</v>
      </c>
      <c r="L62" s="32" t="n">
        <v>88</v>
      </c>
      <c r="M62" s="33" t="n">
        <f aca="false">IFERROR(AVERAGEIF(C62:G62,"&gt;0"),0)</f>
        <v>3986</v>
      </c>
      <c r="N62" s="34" t="n">
        <f aca="false">IFERROR(AVERAGEIF(H62:K62,"&gt;0"),0)</f>
        <v>37.5</v>
      </c>
      <c r="O62" s="76" t="n">
        <f aca="false">N62-M62</f>
        <v>-3948.5</v>
      </c>
      <c r="P62" s="77" t="n">
        <f aca="false">IFERROR(N62/M62,"n/a")</f>
        <v>0.0094079277471149</v>
      </c>
      <c r="Q62" s="69" t="n">
        <f aca="false">IFERROR(N62/$C$3,0)</f>
        <v>1.23045791725998E-007</v>
      </c>
      <c r="R62" s="69" t="n">
        <f aca="false">IFERROR(O62/$D$4,0)</f>
        <v>-3.95204787984727E-005</v>
      </c>
      <c r="S62" s="78" t="n">
        <f aca="false">IFERROR((Q62+R62)/2,0)</f>
        <v>-1.96987165033734E-005</v>
      </c>
      <c r="T62" s="79"/>
      <c r="U62" s="58" t="str">
        <f aca="false">IFERROR(POWER(K62/C62,1/8)-1,"n/a")</f>
        <v>n/a</v>
      </c>
      <c r="V62" s="58" t="str">
        <f aca="false">IFERROR(POWER(K62/H62,1/3)-1,"n/a")</f>
        <v>n/a</v>
      </c>
      <c r="W62" s="53" t="str">
        <f aca="false">IFERROR(V62-U62,"n/a")</f>
        <v>n/a</v>
      </c>
      <c r="X62" s="59" t="n">
        <f aca="false">IFERROR(SLOPE(C62:K62,{1,2,3,4,5,6,7,8,9})/AVERAGEIF(C62:K62,"&gt;0"),"n/a")</f>
        <v>-0.279891352589252</v>
      </c>
      <c r="Y62" s="88" t="n">
        <f aca="false">IFERROR(SLOPE(H62:K62,{1,2,3,4})/AVERAGEIF(H62:K62,"&gt;0"),"n/a")</f>
        <v>-0.933333333333333</v>
      </c>
      <c r="Z62" s="45" t="str">
        <f aca="false">IFERROR(H62/G62,"n/a")</f>
        <v>n/a</v>
      </c>
      <c r="AA62" s="45" t="str">
        <f aca="false">IFERROR(H62/F62,"n/a")</f>
        <v>n/a</v>
      </c>
      <c r="AB62" s="56" t="n">
        <v>1.50666666666667</v>
      </c>
      <c r="AC62" s="47" t="s">
        <v>343</v>
      </c>
      <c r="AD62" s="48" t="n">
        <v>0.037</v>
      </c>
      <c r="AE62" s="49" t="s">
        <v>344</v>
      </c>
    </row>
    <row r="63" customFormat="false" ht="16.5" hidden="false" customHeight="true" outlineLevel="0" collapsed="false">
      <c r="A63" s="83" t="s">
        <v>285</v>
      </c>
      <c r="B63" s="84" t="s">
        <v>286</v>
      </c>
      <c r="C63" s="50" t="s">
        <v>84</v>
      </c>
      <c r="D63" s="50" t="s">
        <v>84</v>
      </c>
      <c r="E63" s="50" t="s">
        <v>84</v>
      </c>
      <c r="F63" s="50" t="s">
        <v>84</v>
      </c>
      <c r="G63" s="30" t="n">
        <v>103</v>
      </c>
      <c r="H63" s="50" t="s">
        <v>84</v>
      </c>
      <c r="I63" s="31" t="n">
        <v>51</v>
      </c>
      <c r="J63" s="50" t="s">
        <v>84</v>
      </c>
      <c r="K63" s="31" t="n">
        <v>3</v>
      </c>
      <c r="L63" s="50" t="s">
        <v>84</v>
      </c>
      <c r="M63" s="33" t="n">
        <f aca="false">IFERROR(AVERAGEIF(C63:G63,"&gt;0"),0)</f>
        <v>103</v>
      </c>
      <c r="N63" s="34" t="n">
        <f aca="false">IFERROR(AVERAGEIF(H63:K63,"&gt;0"),0)</f>
        <v>27</v>
      </c>
      <c r="O63" s="76" t="n">
        <f aca="false">N63-M63</f>
        <v>-76</v>
      </c>
      <c r="P63" s="77" t="n">
        <f aca="false">IFERROR(N63/M63,"n/a")</f>
        <v>0.262135922330097</v>
      </c>
      <c r="Q63" s="69" t="n">
        <f aca="false">IFERROR(N63/$C$3,0)</f>
        <v>8.85929700427187E-008</v>
      </c>
      <c r="R63" s="69" t="n">
        <f aca="false">IFERROR(O63/$D$4,0)</f>
        <v>-7.60682889371641E-007</v>
      </c>
      <c r="S63" s="78" t="n">
        <f aca="false">IFERROR((Q63+R63)/2,0)</f>
        <v>-3.36044959664461E-007</v>
      </c>
      <c r="T63" s="79"/>
      <c r="U63" s="58" t="str">
        <f aca="false">IFERROR(POWER(K63/C63,1/8)-1,"n/a")</f>
        <v>n/a</v>
      </c>
      <c r="V63" s="58" t="str">
        <f aca="false">IFERROR(POWER(K63/H63,1/3)-1,"n/a")</f>
        <v>n/a</v>
      </c>
      <c r="W63" s="53" t="str">
        <f aca="false">IFERROR(V63-U63,"n/a")</f>
        <v>n/a</v>
      </c>
      <c r="X63" s="59" t="n">
        <f aca="false">IFERROR(SLOPE(C63:K63,{1,2,3,4,5,6,7,8,9})/AVERAGEIF(C63:K63,"&gt;0"),"n/a")</f>
        <v>-0.477707006369427</v>
      </c>
      <c r="Y63" s="88" t="n">
        <f aca="false">IFERROR(SLOPE(H63:K63,{1,2,3,4})/AVERAGEIF(H63:K63,"&gt;0"),"n/a")</f>
        <v>-0.888888888888889</v>
      </c>
      <c r="Z63" s="45" t="str">
        <f aca="false">IFERROR(H63/G63,"n/a")</f>
        <v>n/a</v>
      </c>
      <c r="AA63" s="45" t="str">
        <f aca="false">IFERROR(H63/F63,"n/a")</f>
        <v>n/a</v>
      </c>
      <c r="AB63" s="56" t="n">
        <v>929.12962962963</v>
      </c>
      <c r="AC63" s="47" t="s">
        <v>111</v>
      </c>
      <c r="AD63" s="48" t="n">
        <v>0.075</v>
      </c>
      <c r="AE63" s="49" t="s">
        <v>112</v>
      </c>
    </row>
    <row r="64" customFormat="false" ht="16.5" hidden="false" customHeight="true" outlineLevel="0" collapsed="false">
      <c r="A64" s="83" t="s">
        <v>188</v>
      </c>
      <c r="B64" s="84" t="s">
        <v>189</v>
      </c>
      <c r="C64" s="30" t="n">
        <v>48</v>
      </c>
      <c r="D64" s="50" t="s">
        <v>84</v>
      </c>
      <c r="E64" s="50" t="s">
        <v>84</v>
      </c>
      <c r="F64" s="50" t="s">
        <v>84</v>
      </c>
      <c r="G64" s="50" t="s">
        <v>84</v>
      </c>
      <c r="H64" s="50" t="s">
        <v>84</v>
      </c>
      <c r="I64" s="31" t="n">
        <v>20</v>
      </c>
      <c r="J64" s="50" t="s">
        <v>84</v>
      </c>
      <c r="K64" s="31" t="n">
        <v>13</v>
      </c>
      <c r="L64" s="32" t="n">
        <v>6</v>
      </c>
      <c r="M64" s="33" t="n">
        <f aca="false">IFERROR(AVERAGEIF(C64:G64,"&gt;0"),0)</f>
        <v>48</v>
      </c>
      <c r="N64" s="34" t="n">
        <f aca="false">IFERROR(AVERAGEIF(H64:K64,"&gt;0"),0)</f>
        <v>16.5</v>
      </c>
      <c r="O64" s="76" t="n">
        <f aca="false">N64-M64</f>
        <v>-31.5</v>
      </c>
      <c r="P64" s="77" t="n">
        <f aca="false">IFERROR(N64/M64,"n/a")</f>
        <v>0.34375</v>
      </c>
      <c r="Q64" s="69" t="n">
        <f aca="false">IFERROR(N64/$C$3,0)</f>
        <v>5.41401483594392E-008</v>
      </c>
      <c r="R64" s="69" t="n">
        <f aca="false">IFERROR(O64/$D$4,0)</f>
        <v>-3.15283039673772E-007</v>
      </c>
      <c r="S64" s="78" t="n">
        <f aca="false">IFERROR((Q64+R64)/2,0)</f>
        <v>-1.30571445657167E-007</v>
      </c>
      <c r="T64" s="79"/>
      <c r="U64" s="58" t="n">
        <f aca="false">IFERROR(POWER(K64/C64,1/8)-1,"n/a")</f>
        <v>-0.150647901053091</v>
      </c>
      <c r="V64" s="58" t="str">
        <f aca="false">IFERROR(POWER(K64/H64,1/3)-1,"n/a")</f>
        <v>n/a</v>
      </c>
      <c r="W64" s="53" t="str">
        <f aca="false">IFERROR(V64-U64,"n/a")</f>
        <v>n/a</v>
      </c>
      <c r="X64" s="59" t="n">
        <f aca="false">IFERROR(SLOPE(C64:K64,{1,2,3,4,5,6,7,8,9})/AVERAGEIF(C64:K64,"&gt;0"),"n/a")</f>
        <v>-0.164529914529915</v>
      </c>
      <c r="Y64" s="88" t="n">
        <f aca="false">IFERROR(SLOPE(H64:K64,{1,2,3,4})/AVERAGEIF(H64:K64,"&gt;0"),"n/a")</f>
        <v>-0.212121212121212</v>
      </c>
      <c r="Z64" s="45" t="str">
        <f aca="false">IFERROR(H64/G64,"n/a")</f>
        <v>n/a</v>
      </c>
      <c r="AA64" s="45" t="str">
        <f aca="false">IFERROR(H64/F64,"n/a")</f>
        <v>n/a</v>
      </c>
      <c r="AB64" s="56" t="n">
        <v>3.42424242424242</v>
      </c>
      <c r="AC64" s="47" t="s">
        <v>135</v>
      </c>
      <c r="AD64" s="65" t="n">
        <v>0.25</v>
      </c>
      <c r="AE64" s="66" t="s">
        <v>136</v>
      </c>
    </row>
    <row r="65" customFormat="false" ht="16.5" hidden="false" customHeight="true" outlineLevel="0" collapsed="false">
      <c r="A65" s="83" t="s">
        <v>315</v>
      </c>
      <c r="B65" s="84" t="s">
        <v>316</v>
      </c>
      <c r="C65" s="50" t="s">
        <v>84</v>
      </c>
      <c r="D65" s="50" t="s">
        <v>84</v>
      </c>
      <c r="E65" s="50" t="s">
        <v>84</v>
      </c>
      <c r="F65" s="50" t="s">
        <v>84</v>
      </c>
      <c r="G65" s="50" t="s">
        <v>84</v>
      </c>
      <c r="H65" s="50" t="s">
        <v>84</v>
      </c>
      <c r="I65" s="50" t="s">
        <v>84</v>
      </c>
      <c r="J65" s="50" t="s">
        <v>84</v>
      </c>
      <c r="K65" s="31" t="n">
        <v>7</v>
      </c>
      <c r="L65" s="50" t="s">
        <v>84</v>
      </c>
      <c r="M65" s="33" t="n">
        <f aca="false">IFERROR(AVERAGEIF(C65:G65,"&gt;0"),0)</f>
        <v>0</v>
      </c>
      <c r="N65" s="34" t="n">
        <f aca="false">IFERROR(AVERAGEIF(H65:K65,"&gt;0"),0)</f>
        <v>7</v>
      </c>
      <c r="O65" s="87" t="n">
        <f aca="false">N65-M65</f>
        <v>7</v>
      </c>
      <c r="P65" s="77" t="str">
        <f aca="false">IFERROR(N65/M65,"n/a")</f>
        <v>n/a</v>
      </c>
      <c r="Q65" s="69" t="n">
        <f aca="false">IFERROR(N65/$C$3,0)</f>
        <v>2.2968547788853E-008</v>
      </c>
      <c r="R65" s="69" t="n">
        <f aca="false">IFERROR(O65/$D$4,0)</f>
        <v>7.00628977052827E-008</v>
      </c>
      <c r="S65" s="78" t="n">
        <f aca="false">IFERROR((Q65+R65)/2,0)</f>
        <v>4.65157227470679E-008</v>
      </c>
      <c r="T65" s="79"/>
      <c r="U65" s="70" t="str">
        <f aca="false">IFERROR(POWER(K65/C65,1/8)-1,"n/a")</f>
        <v>n/a</v>
      </c>
      <c r="V65" s="70" t="str">
        <f aca="false">IFERROR(POWER(K65/H65,1/3)-1,"n/a")</f>
        <v>n/a</v>
      </c>
      <c r="W65" s="90" t="str">
        <f aca="false">IFERROR(V65-U65,"n/a")</f>
        <v>n/a</v>
      </c>
      <c r="X65" s="88" t="str">
        <f aca="false">IFERROR(SLOPE(C65:K65,{1,2,3,4,5,6,7,8,9})/AVERAGEIF(C65:K65,"&gt;0"),"n/a")</f>
        <v>n/a</v>
      </c>
      <c r="Y65" s="88" t="str">
        <f aca="false">IFERROR(SLOPE(H65:K65,{1,2,3,4})/AVERAGEIF(H65:K65,"&gt;0"),"n/a")</f>
        <v>n/a</v>
      </c>
      <c r="Z65" s="45" t="str">
        <f aca="false">IFERROR(H65/G65,"n/a")</f>
        <v>n/a</v>
      </c>
      <c r="AA65" s="45" t="str">
        <f aca="false">IFERROR(H65/F65,"n/a")</f>
        <v>n/a</v>
      </c>
      <c r="AB65" s="56" t="n">
        <v>4.71428571428571</v>
      </c>
      <c r="AC65" s="47" t="s">
        <v>333</v>
      </c>
      <c r="AD65" s="48" t="n">
        <v>0.02</v>
      </c>
      <c r="AE65" s="49" t="s">
        <v>334</v>
      </c>
    </row>
    <row r="67" customFormat="false" ht="21.75" hidden="false" customHeight="true" outlineLevel="0" collapsed="false">
      <c r="A67" s="92" t="s">
        <v>345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</row>
    <row r="68" customFormat="false" ht="15" hidden="false" customHeight="true" outlineLevel="0" collapsed="false">
      <c r="A68" s="93" t="s">
        <v>185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</row>
    <row r="69" customFormat="false" ht="16.5" hidden="false" customHeight="true" outlineLevel="0" collapsed="false">
      <c r="A69" s="94" t="s">
        <v>218</v>
      </c>
      <c r="B69" s="95" t="s">
        <v>219</v>
      </c>
      <c r="C69" s="30" t="n">
        <v>255292</v>
      </c>
      <c r="D69" s="30" t="n">
        <v>315075</v>
      </c>
      <c r="E69" s="30" t="n">
        <v>1318039</v>
      </c>
      <c r="F69" s="30" t="n">
        <v>1828665</v>
      </c>
      <c r="G69" s="30" t="n">
        <v>2727491</v>
      </c>
      <c r="H69" s="31" t="n">
        <v>2788670</v>
      </c>
      <c r="I69" s="31" t="n">
        <v>1490378</v>
      </c>
      <c r="J69" s="31" t="n">
        <v>1593803</v>
      </c>
      <c r="K69" s="31" t="n">
        <v>2516329</v>
      </c>
      <c r="L69" s="32" t="n">
        <v>3211978</v>
      </c>
      <c r="M69" s="33" t="n">
        <f aca="false">IFERROR(AVERAGEIF(C69:G69,"&gt;0"),0)</f>
        <v>1288912.4</v>
      </c>
      <c r="N69" s="34" t="n">
        <f aca="false">IFERROR(AVERAGEIF(H69:K69,"&gt;0"),0)</f>
        <v>2097295</v>
      </c>
      <c r="O69" s="68" t="n">
        <f aca="false">N69-M69</f>
        <v>808382.6</v>
      </c>
      <c r="P69" s="36" t="n">
        <f aca="false">IFERROR(N69/M69,"n/a")</f>
        <v>1.62718195588777</v>
      </c>
      <c r="Q69" s="69" t="n">
        <f aca="false">IFERROR(N69/$C$3,0)</f>
        <v>0.00688168863354606</v>
      </c>
      <c r="R69" s="69" t="n">
        <f aca="false">IFERROR(O69/$D$4,0)</f>
        <v>0.00809108963007579</v>
      </c>
      <c r="S69" s="78" t="n">
        <f aca="false">IFERROR((Q69+R69)/2,0)</f>
        <v>0.00748638913181092</v>
      </c>
      <c r="T69" s="64" t="n">
        <v>0.972153648589673</v>
      </c>
      <c r="U69" s="41" t="n">
        <f aca="false">IFERROR(POWER(K69/C69,1/8)-1,"n/a")</f>
        <v>0.33111714463648</v>
      </c>
      <c r="V69" s="58" t="n">
        <f aca="false">IFERROR(POWER(K69/H69,1/3)-1,"n/a")</f>
        <v>-0.0336745165064861</v>
      </c>
      <c r="W69" s="53" t="n">
        <f aca="false">IFERROR(V69-U69,"n/a")</f>
        <v>-0.364791661142966</v>
      </c>
      <c r="X69" s="43" t="n">
        <f aca="false">IFERROR(SLOPE(C69:K69,{1,2,3,4,5,6,7,8,9})/AVERAGEIF(C69:K69,"&gt;0"),"n/a")</f>
        <v>0.143440020056976</v>
      </c>
      <c r="Y69" s="59" t="n">
        <f aca="false">IFERROR(SLOPE(H69:K69,{1,2,3,4})/AVERAGEIF(H69:K69,"&gt;0"),"n/a")</f>
        <v>-0.0340246841765226</v>
      </c>
      <c r="Z69" s="44" t="n">
        <f aca="false">IFERROR(H69/G69,"n/a")</f>
        <v>1.02243050481193</v>
      </c>
      <c r="AA69" s="67" t="n">
        <f aca="false">IFERROR(H69/F69,"n/a")</f>
        <v>1.52497587037538</v>
      </c>
      <c r="AB69" s="56" t="n">
        <v>1.75327250895399</v>
      </c>
      <c r="AC69" s="47" t="s">
        <v>131</v>
      </c>
      <c r="AD69" s="48" t="n">
        <v>0.03</v>
      </c>
      <c r="AE69" s="49" t="s">
        <v>132</v>
      </c>
    </row>
    <row r="70" customFormat="false" ht="16.5" hidden="false" customHeight="true" outlineLevel="0" collapsed="false">
      <c r="A70" s="94" t="s">
        <v>141</v>
      </c>
      <c r="B70" s="95" t="s">
        <v>142</v>
      </c>
      <c r="C70" s="30" t="n">
        <v>679831</v>
      </c>
      <c r="D70" s="30" t="n">
        <v>494148</v>
      </c>
      <c r="E70" s="30" t="n">
        <v>426128</v>
      </c>
      <c r="F70" s="30" t="n">
        <v>446847</v>
      </c>
      <c r="G70" s="30" t="n">
        <v>538554</v>
      </c>
      <c r="H70" s="31" t="n">
        <v>962376</v>
      </c>
      <c r="I70" s="31" t="n">
        <v>1102430</v>
      </c>
      <c r="J70" s="31" t="n">
        <v>1322760</v>
      </c>
      <c r="K70" s="31" t="n">
        <v>2571630</v>
      </c>
      <c r="L70" s="32" t="n">
        <v>1188714</v>
      </c>
      <c r="M70" s="33" t="n">
        <f aca="false">IFERROR(AVERAGEIF(C70:G70,"&gt;0"),0)</f>
        <v>517101.6</v>
      </c>
      <c r="N70" s="34" t="n">
        <f aca="false">IFERROR(AVERAGEIF(H70:K70,"&gt;0"),0)</f>
        <v>1489799</v>
      </c>
      <c r="O70" s="68" t="n">
        <f aca="false">N70-M70</f>
        <v>972697.4</v>
      </c>
      <c r="P70" s="51" t="n">
        <f aca="false">IFERROR(N70/M70,"n/a")</f>
        <v>2.88105664341398</v>
      </c>
      <c r="Q70" s="69" t="n">
        <f aca="false">IFERROR(N70/$C$3,0)</f>
        <v>0.00488835993246934</v>
      </c>
      <c r="R70" s="69" t="n">
        <f aca="false">IFERROR(O70/$D$4,0)</f>
        <v>0.00973571406205636</v>
      </c>
      <c r="S70" s="78" t="n">
        <f aca="false">IFERROR((Q70+R70)/2,0)</f>
        <v>0.00731203699726285</v>
      </c>
      <c r="T70" s="64" t="n">
        <v>0.979522426830197</v>
      </c>
      <c r="U70" s="40" t="n">
        <f aca="false">IFERROR(POWER(K70/C70,1/8)-1,"n/a")</f>
        <v>0.180934852300531</v>
      </c>
      <c r="V70" s="41" t="n">
        <f aca="false">IFERROR(POWER(K70/H70,1/3)-1,"n/a")</f>
        <v>0.387675433399058</v>
      </c>
      <c r="W70" s="42" t="n">
        <f aca="false">IFERROR(V70-U70,"n/a")</f>
        <v>0.206740581098527</v>
      </c>
      <c r="X70" s="43" t="n">
        <f aca="false">IFERROR(SLOPE(C70:K70,{1,2,3,4,5,6,7,8,9})/AVERAGEIF(C70:K70,"&gt;0"),"n/a")</f>
        <v>0.209272872413135</v>
      </c>
      <c r="Y70" s="43" t="n">
        <f aca="false">IFERROR(SLOPE(H70:K70,{1,2,3,4})/AVERAGEIF(H70:K70,"&gt;0"),"n/a")</f>
        <v>0.338843830610707</v>
      </c>
      <c r="Z70" s="67" t="n">
        <f aca="false">IFERROR(H70/G70,"n/a")</f>
        <v>1.78696286723337</v>
      </c>
      <c r="AA70" s="67" t="n">
        <f aca="false">IFERROR(H70/F70,"n/a")</f>
        <v>2.15370361667416</v>
      </c>
      <c r="AB70" s="56" t="n">
        <v>1.18034737124494</v>
      </c>
      <c r="AC70" s="47" t="s">
        <v>101</v>
      </c>
      <c r="AD70" s="48" t="n">
        <v>0.0325</v>
      </c>
      <c r="AE70" s="49" t="s">
        <v>102</v>
      </c>
    </row>
    <row r="71" customFormat="false" ht="16.5" hidden="false" customHeight="true" outlineLevel="0" collapsed="false">
      <c r="A71" s="94" t="s">
        <v>245</v>
      </c>
      <c r="B71" s="95" t="s">
        <v>246</v>
      </c>
      <c r="C71" s="30" t="n">
        <v>61960</v>
      </c>
      <c r="D71" s="30" t="n">
        <v>112340</v>
      </c>
      <c r="E71" s="30" t="n">
        <v>222521</v>
      </c>
      <c r="F71" s="30" t="n">
        <v>205688</v>
      </c>
      <c r="G71" s="30" t="n">
        <v>353457</v>
      </c>
      <c r="H71" s="31" t="n">
        <v>717773</v>
      </c>
      <c r="I71" s="31" t="n">
        <v>519035</v>
      </c>
      <c r="J71" s="31" t="n">
        <v>750698</v>
      </c>
      <c r="K71" s="31" t="n">
        <v>713707</v>
      </c>
      <c r="L71" s="32" t="n">
        <v>598128</v>
      </c>
      <c r="M71" s="33" t="n">
        <f aca="false">IFERROR(AVERAGEIF(C71:G71,"&gt;0"),0)</f>
        <v>191193.2</v>
      </c>
      <c r="N71" s="34" t="n">
        <f aca="false">IFERROR(AVERAGEIF(H71:K71,"&gt;0"),0)</f>
        <v>675303.25</v>
      </c>
      <c r="O71" s="68" t="n">
        <f aca="false">N71-M71</f>
        <v>484110.05</v>
      </c>
      <c r="P71" s="51" t="n">
        <f aca="false">IFERROR(N71/M71,"n/a")</f>
        <v>3.5320463803106</v>
      </c>
      <c r="Q71" s="69" t="n">
        <f aca="false">IFERROR(N71/$C$3,0)</f>
        <v>0.00221581928137039</v>
      </c>
      <c r="R71" s="69" t="n">
        <f aca="false">IFERROR(O71/$D$4,0)</f>
        <v>0.00484545041589276</v>
      </c>
      <c r="S71" s="78" t="n">
        <f aca="false">IFERROR((Q71+R71)/2,0)</f>
        <v>0.00353063484863158</v>
      </c>
      <c r="T71" s="64" t="n">
        <v>0.983078781622245</v>
      </c>
      <c r="U71" s="41" t="n">
        <f aca="false">IFERROR(POWER(K71/C71,1/8)-1,"n/a")</f>
        <v>0.357300685410985</v>
      </c>
      <c r="V71" s="58" t="n">
        <f aca="false">IFERROR(POWER(K71/H71,1/3)-1,"n/a")</f>
        <v>-0.00189182460634441</v>
      </c>
      <c r="W71" s="53" t="n">
        <f aca="false">IFERROR(V71-U71,"n/a")</f>
        <v>-0.359192510017329</v>
      </c>
      <c r="X71" s="43" t="n">
        <f aca="false">IFERROR(SLOPE(C71:K71,{1,2,3,4,5,6,7,8,9})/AVERAGEIF(C71:K71,"&gt;0"),"n/a")</f>
        <v>0.230799818658042</v>
      </c>
      <c r="Y71" s="43" t="n">
        <f aca="false">IFERROR(SLOPE(H71:K71,{1,2,3,4})/AVERAGEIF(H71:K71,"&gt;0"),"n/a")</f>
        <v>0.0324987329766294</v>
      </c>
      <c r="Z71" s="80" t="n">
        <f aca="false">IFERROR(H71/G71,"n/a")</f>
        <v>2.0307222660748</v>
      </c>
      <c r="AA71" s="55" t="n">
        <f aca="false">IFERROR(H71/F71,"n/a")</f>
        <v>3.48962020147019</v>
      </c>
      <c r="AB71" s="56" t="n">
        <v>1.10966887838908</v>
      </c>
      <c r="AC71" s="47" t="s">
        <v>121</v>
      </c>
      <c r="AD71" s="48" t="n">
        <v>0.05</v>
      </c>
      <c r="AE71" s="49" t="s">
        <v>122</v>
      </c>
    </row>
    <row r="72" customFormat="false" ht="16.5" hidden="false" customHeight="true" outlineLevel="0" collapsed="false">
      <c r="A72" s="94" t="s">
        <v>103</v>
      </c>
      <c r="B72" s="95" t="s">
        <v>104</v>
      </c>
      <c r="C72" s="30" t="n">
        <v>71954</v>
      </c>
      <c r="D72" s="30" t="n">
        <v>102676</v>
      </c>
      <c r="E72" s="30" t="n">
        <v>143812</v>
      </c>
      <c r="F72" s="30" t="n">
        <v>88279</v>
      </c>
      <c r="G72" s="30" t="n">
        <v>201976</v>
      </c>
      <c r="H72" s="31" t="n">
        <v>1027371</v>
      </c>
      <c r="I72" s="31" t="n">
        <v>209862</v>
      </c>
      <c r="J72" s="31" t="n">
        <v>138676</v>
      </c>
      <c r="K72" s="31" t="n">
        <v>448508</v>
      </c>
      <c r="L72" s="32" t="n">
        <v>187312</v>
      </c>
      <c r="M72" s="33" t="n">
        <f aca="false">IFERROR(AVERAGEIF(C72:G72,"&gt;0"),0)</f>
        <v>121739.4</v>
      </c>
      <c r="N72" s="34" t="n">
        <f aca="false">IFERROR(AVERAGEIF(H72:K72,"&gt;0"),0)</f>
        <v>456104.25</v>
      </c>
      <c r="O72" s="68" t="n">
        <f aca="false">N72-M72</f>
        <v>334364.85</v>
      </c>
      <c r="P72" s="51" t="n">
        <f aca="false">IFERROR(N72/M72,"n/a")</f>
        <v>3.74656232904056</v>
      </c>
      <c r="Q72" s="69" t="n">
        <f aca="false">IFERROR(N72/$C$3,0)</f>
        <v>0.00149657889468914</v>
      </c>
      <c r="R72" s="69" t="n">
        <f aca="false">IFERROR(O72/$D$4,0)</f>
        <v>0.00334665289739889</v>
      </c>
      <c r="S72" s="78" t="n">
        <f aca="false">IFERROR((Q72+R72)/2,0)</f>
        <v>0.00242161589604401</v>
      </c>
      <c r="T72" s="64" t="n">
        <v>0.985517768936985</v>
      </c>
      <c r="U72" s="41" t="n">
        <f aca="false">IFERROR(POWER(K72/C72,1/8)-1,"n/a")</f>
        <v>0.257011950318005</v>
      </c>
      <c r="V72" s="58" t="n">
        <f aca="false">IFERROR(POWER(K72/H72,1/3)-1,"n/a")</f>
        <v>-0.241397451930737</v>
      </c>
      <c r="W72" s="53" t="n">
        <f aca="false">IFERROR(V72-U72,"n/a")</f>
        <v>-0.498409402248742</v>
      </c>
      <c r="X72" s="43" t="n">
        <f aca="false">IFERROR(SLOPE(C72:K72,{1,2,3,4,5,6,7,8,9})/AVERAGEIF(C72:K72,"&gt;0"),"n/a")</f>
        <v>0.165553771833132</v>
      </c>
      <c r="Y72" s="59" t="n">
        <f aca="false">IFERROR(SLOPE(H72:K72,{1,2,3,4})/AVERAGEIF(H72:K72,"&gt;0"),"n/a")</f>
        <v>-0.396351272762751</v>
      </c>
      <c r="Z72" s="54" t="n">
        <f aca="false">IFERROR(H72/G72,"n/a")</f>
        <v>5.08659939794827</v>
      </c>
      <c r="AA72" s="55" t="n">
        <f aca="false">IFERROR(H72/F72,"n/a")</f>
        <v>11.6377734228979</v>
      </c>
      <c r="AB72" s="46" t="n">
        <v>0.669698502772849</v>
      </c>
      <c r="AC72" s="47" t="s">
        <v>346</v>
      </c>
      <c r="AD72" s="48" t="n">
        <v>0.028</v>
      </c>
      <c r="AE72" s="49" t="s">
        <v>341</v>
      </c>
    </row>
    <row r="73" customFormat="false" ht="16.5" hidden="false" customHeight="true" outlineLevel="0" collapsed="false">
      <c r="A73" s="94" t="s">
        <v>166</v>
      </c>
      <c r="B73" s="95" t="s">
        <v>167</v>
      </c>
      <c r="C73" s="30" t="n">
        <v>1100655</v>
      </c>
      <c r="D73" s="30" t="n">
        <v>755259</v>
      </c>
      <c r="E73" s="30" t="n">
        <v>797636</v>
      </c>
      <c r="F73" s="30" t="n">
        <v>1034436</v>
      </c>
      <c r="G73" s="30" t="n">
        <v>623146</v>
      </c>
      <c r="H73" s="31" t="n">
        <v>1409404</v>
      </c>
      <c r="I73" s="31" t="n">
        <v>595498</v>
      </c>
      <c r="J73" s="31" t="n">
        <v>1136333</v>
      </c>
      <c r="K73" s="31" t="n">
        <v>841010</v>
      </c>
      <c r="L73" s="32" t="n">
        <v>1592274</v>
      </c>
      <c r="M73" s="33" t="n">
        <f aca="false">IFERROR(AVERAGEIF(C73:G73,"&gt;0"),0)</f>
        <v>862226.4</v>
      </c>
      <c r="N73" s="34" t="n">
        <f aca="false">IFERROR(AVERAGEIF(H73:K73,"&gt;0"),0)</f>
        <v>995561.25</v>
      </c>
      <c r="O73" s="96" t="n">
        <f aca="false">N73-M73</f>
        <v>133334.85</v>
      </c>
      <c r="P73" s="91" t="n">
        <f aca="false">IFERROR(N73/M73,"n/a")</f>
        <v>1.15464018499086</v>
      </c>
      <c r="Q73" s="69" t="n">
        <f aca="false">IFERROR(N73/$C$3,0)</f>
        <v>0.00326665659247932</v>
      </c>
      <c r="R73" s="69" t="n">
        <f aca="false">IFERROR(O73/$D$4,0)</f>
        <v>0.00133454656515703</v>
      </c>
      <c r="S73" s="78" t="n">
        <f aca="false">IFERROR((Q73+R73)/2,0)</f>
        <v>0.00230060157881817</v>
      </c>
      <c r="T73" s="64" t="n">
        <v>0.987856287968472</v>
      </c>
      <c r="U73" s="58" t="n">
        <f aca="false">IFERROR(POWER(K73/C73,1/8)-1,"n/a")</f>
        <v>-0.0330728748921508</v>
      </c>
      <c r="V73" s="58" t="n">
        <f aca="false">IFERROR(POWER(K73/H73,1/3)-1,"n/a")</f>
        <v>-0.158110253873141</v>
      </c>
      <c r="W73" s="53" t="n">
        <f aca="false">IFERROR(V73-U73,"n/a")</f>
        <v>-0.12503737898099</v>
      </c>
      <c r="X73" s="43" t="n">
        <f aca="false">IFERROR(SLOPE(C73:K73,{1,2,3,4,5,6,7,8,9})/AVERAGEIF(C73:K73,"&gt;0"),"n/a")</f>
        <v>0.00136254507663163</v>
      </c>
      <c r="Y73" s="59" t="n">
        <f aca="false">IFERROR(SLOPE(H73:K73,{1,2,3,4})/AVERAGEIF(H73:K73,"&gt;0"),"n/a")</f>
        <v>-0.11695382880762</v>
      </c>
      <c r="Z73" s="80" t="n">
        <f aca="false">IFERROR(H73/G73,"n/a")</f>
        <v>2.2617556720255</v>
      </c>
      <c r="AA73" s="45" t="n">
        <f aca="false">IFERROR(H73/F73,"n/a")</f>
        <v>1.36248545100905</v>
      </c>
      <c r="AB73" s="56" t="n">
        <v>2.39580404185746</v>
      </c>
      <c r="AC73" s="85" t="s">
        <v>244</v>
      </c>
      <c r="AD73" s="86" t="s">
        <v>140</v>
      </c>
      <c r="AE73" s="86" t="s">
        <v>84</v>
      </c>
    </row>
    <row r="74" customFormat="false" ht="16.5" hidden="false" customHeight="true" outlineLevel="0" collapsed="false">
      <c r="A74" s="94" t="s">
        <v>129</v>
      </c>
      <c r="B74" s="95" t="s">
        <v>130</v>
      </c>
      <c r="C74" s="30" t="n">
        <v>567596</v>
      </c>
      <c r="D74" s="30" t="n">
        <v>491575</v>
      </c>
      <c r="E74" s="30" t="n">
        <v>226387</v>
      </c>
      <c r="F74" s="30" t="n">
        <v>199000</v>
      </c>
      <c r="G74" s="30" t="n">
        <v>283322</v>
      </c>
      <c r="H74" s="31" t="n">
        <v>376461</v>
      </c>
      <c r="I74" s="31" t="n">
        <v>314464</v>
      </c>
      <c r="J74" s="31" t="n">
        <v>906519</v>
      </c>
      <c r="K74" s="31" t="n">
        <v>718942</v>
      </c>
      <c r="L74" s="32" t="n">
        <v>897133</v>
      </c>
      <c r="M74" s="33" t="n">
        <f aca="false">IFERROR(AVERAGEIF(C74:G74,"&gt;0"),0)</f>
        <v>353576</v>
      </c>
      <c r="N74" s="34" t="n">
        <f aca="false">IFERROR(AVERAGEIF(H74:K74,"&gt;0"),0)</f>
        <v>579096.5</v>
      </c>
      <c r="O74" s="68" t="n">
        <f aca="false">N74-M74</f>
        <v>225520.5</v>
      </c>
      <c r="P74" s="36" t="n">
        <f aca="false">IFERROR(N74/M74,"n/a")</f>
        <v>1.63782751091703</v>
      </c>
      <c r="Q74" s="69" t="n">
        <f aca="false">IFERROR(N74/$C$3,0)</f>
        <v>0.00190014366208679</v>
      </c>
      <c r="R74" s="69" t="n">
        <f aca="false">IFERROR(O74/$D$4,0)</f>
        <v>0.00225723138884917</v>
      </c>
      <c r="S74" s="78" t="n">
        <f aca="false">IFERROR((Q74+R74)/2,0)</f>
        <v>0.00207868752546798</v>
      </c>
      <c r="T74" s="64" t="n">
        <v>0.989957031258092</v>
      </c>
      <c r="U74" s="70" t="n">
        <f aca="false">IFERROR(POWER(K74/C74,1/8)-1,"n/a")</f>
        <v>0.0299871728327712</v>
      </c>
      <c r="V74" s="41" t="n">
        <f aca="false">IFERROR(POWER(K74/H74,1/3)-1,"n/a")</f>
        <v>0.24067478148044</v>
      </c>
      <c r="W74" s="42" t="n">
        <f aca="false">IFERROR(V74-U74,"n/a")</f>
        <v>0.210687608647669</v>
      </c>
      <c r="X74" s="43" t="n">
        <f aca="false">IFERROR(SLOPE(C74:K74,{1,2,3,4,5,6,7,8,9})/AVERAGEIF(C74:K74,"&gt;0"),"n/a")</f>
        <v>0.0809385701127204</v>
      </c>
      <c r="Y74" s="43" t="n">
        <f aca="false">IFERROR(SLOPE(H74:K74,{1,2,3,4})/AVERAGEIF(H74:K74,"&gt;0"),"n/a")</f>
        <v>0.279659434999175</v>
      </c>
      <c r="Z74" s="44" t="n">
        <f aca="false">IFERROR(H74/G74,"n/a")</f>
        <v>1.32873903191422</v>
      </c>
      <c r="AA74" s="67" t="n">
        <f aca="false">IFERROR(H74/F74,"n/a")</f>
        <v>1.89176381909548</v>
      </c>
      <c r="AB74" s="56" t="n">
        <v>1.98863862355698</v>
      </c>
      <c r="AC74" s="47" t="s">
        <v>101</v>
      </c>
      <c r="AD74" s="48" t="n">
        <v>0.0325</v>
      </c>
      <c r="AE74" s="49" t="s">
        <v>102</v>
      </c>
    </row>
    <row r="75" customFormat="false" ht="16.5" hidden="false" customHeight="true" outlineLevel="0" collapsed="false">
      <c r="A75" s="94" t="s">
        <v>95</v>
      </c>
      <c r="B75" s="95" t="s">
        <v>96</v>
      </c>
      <c r="C75" s="30" t="n">
        <v>120047</v>
      </c>
      <c r="D75" s="30" t="n">
        <v>106183</v>
      </c>
      <c r="E75" s="30" t="n">
        <v>10690</v>
      </c>
      <c r="F75" s="30" t="n">
        <v>200</v>
      </c>
      <c r="G75" s="30" t="n">
        <v>71178</v>
      </c>
      <c r="H75" s="31" t="n">
        <v>206964</v>
      </c>
      <c r="I75" s="31" t="n">
        <v>90763</v>
      </c>
      <c r="J75" s="31" t="n">
        <v>208808</v>
      </c>
      <c r="K75" s="31" t="n">
        <v>547365</v>
      </c>
      <c r="L75" s="32" t="n">
        <v>601941</v>
      </c>
      <c r="M75" s="33" t="n">
        <f aca="false">IFERROR(AVERAGEIF(C75:G75,"&gt;0"),0)</f>
        <v>61659.6</v>
      </c>
      <c r="N75" s="34" t="n">
        <f aca="false">IFERROR(AVERAGEIF(H75:K75,"&gt;0"),0)</f>
        <v>263475</v>
      </c>
      <c r="O75" s="68" t="n">
        <f aca="false">N75-M75</f>
        <v>201815.4</v>
      </c>
      <c r="P75" s="51" t="n">
        <f aca="false">IFERROR(N75/M75,"n/a")</f>
        <v>4.2730572368293</v>
      </c>
      <c r="Q75" s="69" t="n">
        <f aca="false">IFERROR(N75/$C$3,0)</f>
        <v>0.000864519732666863</v>
      </c>
      <c r="R75" s="69" t="n">
        <f aca="false">IFERROR(O75/$D$4,0)</f>
        <v>0.00201996738936439</v>
      </c>
      <c r="S75" s="78" t="n">
        <f aca="false">IFERROR((Q75+R75)/2,0)</f>
        <v>0.00144224356101563</v>
      </c>
      <c r="T75" s="64" t="n">
        <v>0.991409309662109</v>
      </c>
      <c r="U75" s="41" t="n">
        <f aca="false">IFERROR(POWER(K75/C75,1/8)-1,"n/a")</f>
        <v>0.20883134872534</v>
      </c>
      <c r="V75" s="41" t="n">
        <f aca="false">IFERROR(POWER(K75/H75,1/3)-1,"n/a")</f>
        <v>0.38291049181667</v>
      </c>
      <c r="W75" s="42" t="n">
        <f aca="false">IFERROR(V75-U75,"n/a")</f>
        <v>0.174079143091329</v>
      </c>
      <c r="X75" s="43" t="n">
        <f aca="false">IFERROR(SLOPE(C75:K75,{1,2,3,4,5,6,7,8,9})/AVERAGEIF(C75:K75,"&gt;0"),"n/a")</f>
        <v>0.262523179449684</v>
      </c>
      <c r="Y75" s="43" t="n">
        <f aca="false">IFERROR(SLOPE(H75:K75,{1,2,3,4})/AVERAGEIF(H75:K75,"&gt;0"),"n/a")</f>
        <v>0.432393206186545</v>
      </c>
      <c r="Z75" s="80" t="n">
        <f aca="false">IFERROR(H75/G75,"n/a")</f>
        <v>2.90769619826351</v>
      </c>
      <c r="AA75" s="55" t="n">
        <f aca="false">IFERROR(H75/F75,"n/a")</f>
        <v>1034.82</v>
      </c>
      <c r="AB75" s="56" t="n">
        <v>2.09313470601259</v>
      </c>
      <c r="AC75" s="47" t="s">
        <v>97</v>
      </c>
      <c r="AD75" s="48" t="n">
        <v>0.035</v>
      </c>
      <c r="AE75" s="49" t="s">
        <v>98</v>
      </c>
    </row>
    <row r="76" customFormat="false" ht="16.5" hidden="false" customHeight="true" outlineLevel="0" collapsed="false">
      <c r="A76" s="94" t="s">
        <v>117</v>
      </c>
      <c r="B76" s="95" t="s">
        <v>118</v>
      </c>
      <c r="C76" s="30" t="n">
        <v>347840</v>
      </c>
      <c r="D76" s="30" t="n">
        <v>413701</v>
      </c>
      <c r="E76" s="30" t="n">
        <v>384440</v>
      </c>
      <c r="F76" s="30" t="n">
        <v>288869</v>
      </c>
      <c r="G76" s="30" t="n">
        <v>345914</v>
      </c>
      <c r="H76" s="31" t="n">
        <v>339439</v>
      </c>
      <c r="I76" s="31" t="n">
        <v>383465</v>
      </c>
      <c r="J76" s="31" t="n">
        <v>532378</v>
      </c>
      <c r="K76" s="31" t="n">
        <v>645370</v>
      </c>
      <c r="L76" s="32" t="n">
        <v>529294</v>
      </c>
      <c r="M76" s="33" t="n">
        <f aca="false">IFERROR(AVERAGEIF(C76:G76,"&gt;0"),0)</f>
        <v>356152.8</v>
      </c>
      <c r="N76" s="34" t="n">
        <f aca="false">IFERROR(AVERAGEIF(H76:K76,"&gt;0"),0)</f>
        <v>475163</v>
      </c>
      <c r="O76" s="96" t="n">
        <f aca="false">N76-M76</f>
        <v>119010.2</v>
      </c>
      <c r="P76" s="36" t="n">
        <f aca="false">IFERROR(N76/M76,"n/a")</f>
        <v>1.33415489082214</v>
      </c>
      <c r="Q76" s="69" t="n">
        <f aca="false">IFERROR(N76/$C$3,0)</f>
        <v>0.00155911486757068</v>
      </c>
      <c r="R76" s="69" t="n">
        <f aca="false">IFERROR(O76/$D$4,0)</f>
        <v>0.00119117135264075</v>
      </c>
      <c r="S76" s="78" t="n">
        <f aca="false">IFERROR((Q76+R76)/2,0)</f>
        <v>0.00137514311010571</v>
      </c>
      <c r="T76" s="64" t="n">
        <v>0.992802550072167</v>
      </c>
      <c r="U76" s="40" t="n">
        <f aca="false">IFERROR(POWER(K76/C76,1/8)-1,"n/a")</f>
        <v>0.0803230847826131</v>
      </c>
      <c r="V76" s="41" t="n">
        <f aca="false">IFERROR(POWER(K76/H76,1/3)-1,"n/a")</f>
        <v>0.23884130786538</v>
      </c>
      <c r="W76" s="42" t="n">
        <f aca="false">IFERROR(V76-U76,"n/a")</f>
        <v>0.158518223082766</v>
      </c>
      <c r="X76" s="43" t="n">
        <f aca="false">IFERROR(SLOPE(C76:K76,{1,2,3,4,5,6,7,8,9})/AVERAGEIF(C76:K76,"&gt;0"),"n/a")</f>
        <v>0.0649792498321298</v>
      </c>
      <c r="Y76" s="43" t="n">
        <f aca="false">IFERROR(SLOPE(H76:K76,{1,2,3,4})/AVERAGEIF(H76:K76,"&gt;0"),"n/a")</f>
        <v>0.224492647786128</v>
      </c>
      <c r="Z76" s="45" t="n">
        <f aca="false">IFERROR(H76/G76,"n/a")</f>
        <v>0.981281474586169</v>
      </c>
      <c r="AA76" s="45" t="n">
        <f aca="false">IFERROR(H76/F76,"n/a")</f>
        <v>1.17506205234899</v>
      </c>
      <c r="AB76" s="56" t="n">
        <v>1.65869326245239</v>
      </c>
      <c r="AC76" s="47" t="s">
        <v>97</v>
      </c>
      <c r="AD76" s="48" t="n">
        <v>0.035</v>
      </c>
      <c r="AE76" s="49" t="s">
        <v>98</v>
      </c>
    </row>
    <row r="77" customFormat="false" ht="16.5" hidden="false" customHeight="true" outlineLevel="0" collapsed="false">
      <c r="A77" s="94" t="s">
        <v>196</v>
      </c>
      <c r="B77" s="95" t="s">
        <v>197</v>
      </c>
      <c r="C77" s="30" t="n">
        <v>187574</v>
      </c>
      <c r="D77" s="30" t="n">
        <v>170199</v>
      </c>
      <c r="E77" s="30" t="n">
        <v>172830</v>
      </c>
      <c r="F77" s="30" t="n">
        <v>270595</v>
      </c>
      <c r="G77" s="30" t="n">
        <v>285135</v>
      </c>
      <c r="H77" s="31" t="n">
        <v>362317</v>
      </c>
      <c r="I77" s="31" t="n">
        <v>262665</v>
      </c>
      <c r="J77" s="31" t="n">
        <v>389340</v>
      </c>
      <c r="K77" s="31" t="n">
        <v>406672</v>
      </c>
      <c r="L77" s="32" t="n">
        <v>435445</v>
      </c>
      <c r="M77" s="33" t="n">
        <f aca="false">IFERROR(AVERAGEIF(C77:G77,"&gt;0"),0)</f>
        <v>217266.6</v>
      </c>
      <c r="N77" s="34" t="n">
        <f aca="false">IFERROR(AVERAGEIF(H77:K77,"&gt;0"),0)</f>
        <v>355248.5</v>
      </c>
      <c r="O77" s="96" t="n">
        <f aca="false">N77-M77</f>
        <v>137981.9</v>
      </c>
      <c r="P77" s="36" t="n">
        <f aca="false">IFERROR(N77/M77,"n/a")</f>
        <v>1.63508104789231</v>
      </c>
      <c r="Q77" s="69" t="n">
        <f aca="false">IFERROR(N77/$C$3,0)</f>
        <v>0.00116564887845262</v>
      </c>
      <c r="R77" s="69" t="n">
        <f aca="false">IFERROR(O77/$D$4,0)</f>
        <v>0.00138105882069722</v>
      </c>
      <c r="S77" s="78" t="n">
        <f aca="false">IFERROR((Q77+R77)/2,0)</f>
        <v>0.00127335384957492</v>
      </c>
      <c r="T77" s="64" t="n">
        <v>0.994089434096991</v>
      </c>
      <c r="U77" s="40" t="n">
        <f aca="false">IFERROR(POWER(K77/C77,1/8)-1,"n/a")</f>
        <v>0.101562020523292</v>
      </c>
      <c r="V77" s="70" t="n">
        <f aca="false">IFERROR(POWER(K77/H77,1/3)-1,"n/a")</f>
        <v>0.0392463789251165</v>
      </c>
      <c r="W77" s="53" t="n">
        <f aca="false">IFERROR(V77-U77,"n/a")</f>
        <v>-0.0623156415981754</v>
      </c>
      <c r="X77" s="43" t="n">
        <f aca="false">IFERROR(SLOPE(C77:K77,{1,2,3,4,5,6,7,8,9})/AVERAGEIF(C77:K77,"&gt;0"),"n/a")</f>
        <v>0.107995905599868</v>
      </c>
      <c r="Y77" s="43" t="n">
        <f aca="false">IFERROR(SLOPE(H77:K77,{1,2,3,4})/AVERAGEIF(H77:K77,"&gt;0"),"n/a")</f>
        <v>0.0731150166714286</v>
      </c>
      <c r="Z77" s="44" t="n">
        <f aca="false">IFERROR(H77/G77,"n/a")</f>
        <v>1.27068581549091</v>
      </c>
      <c r="AA77" s="45" t="n">
        <f aca="false">IFERROR(H77/F77,"n/a")</f>
        <v>1.33896413459229</v>
      </c>
      <c r="AB77" s="56" t="n">
        <v>1.66265492089809</v>
      </c>
      <c r="AC77" s="47" t="s">
        <v>164</v>
      </c>
      <c r="AD77" s="48" t="n">
        <v>0.1</v>
      </c>
      <c r="AE77" s="66" t="s">
        <v>165</v>
      </c>
    </row>
    <row r="78" customFormat="false" ht="16.5" hidden="false" customHeight="true" outlineLevel="0" collapsed="false">
      <c r="A78" s="94" t="s">
        <v>99</v>
      </c>
      <c r="B78" s="95" t="s">
        <v>100</v>
      </c>
      <c r="C78" s="30" t="n">
        <v>263356</v>
      </c>
      <c r="D78" s="30" t="n">
        <v>256443</v>
      </c>
      <c r="E78" s="30" t="n">
        <v>248822</v>
      </c>
      <c r="F78" s="30" t="n">
        <v>335280</v>
      </c>
      <c r="G78" s="30" t="n">
        <v>272139</v>
      </c>
      <c r="H78" s="31" t="n">
        <v>228126</v>
      </c>
      <c r="I78" s="31" t="n">
        <v>315641</v>
      </c>
      <c r="J78" s="31" t="n">
        <v>188667</v>
      </c>
      <c r="K78" s="31" t="n">
        <v>810792</v>
      </c>
      <c r="L78" s="32" t="n">
        <v>557656</v>
      </c>
      <c r="M78" s="33" t="n">
        <f aca="false">IFERROR(AVERAGEIF(C78:G78,"&gt;0"),0)</f>
        <v>275208</v>
      </c>
      <c r="N78" s="34" t="n">
        <f aca="false">IFERROR(AVERAGEIF(H78:K78,"&gt;0"),0)</f>
        <v>385806.5</v>
      </c>
      <c r="O78" s="96" t="n">
        <f aca="false">N78-M78</f>
        <v>110598.5</v>
      </c>
      <c r="P78" s="36" t="n">
        <f aca="false">IFERROR(N78/M78,"n/a")</f>
        <v>1.40187240196506</v>
      </c>
      <c r="Q78" s="69" t="n">
        <f aca="false">IFERROR(N78/$C$3,0)</f>
        <v>0.0012659164332143</v>
      </c>
      <c r="R78" s="69" t="n">
        <f aca="false">IFERROR(O78/$D$4,0)</f>
        <v>0.00110697877026539</v>
      </c>
      <c r="S78" s="78" t="n">
        <f aca="false">IFERROR((Q78+R78)/2,0)</f>
        <v>0.00118644760173984</v>
      </c>
      <c r="T78" s="64" t="n">
        <v>0.995290575721527</v>
      </c>
      <c r="U78" s="40" t="n">
        <f aca="false">IFERROR(POWER(K78/C78,1/8)-1,"n/a")</f>
        <v>0.150921703122197</v>
      </c>
      <c r="V78" s="41" t="n">
        <f aca="false">IFERROR(POWER(K78/H78,1/3)-1,"n/a")</f>
        <v>0.526083241122151</v>
      </c>
      <c r="W78" s="42" t="n">
        <f aca="false">IFERROR(V78-U78,"n/a")</f>
        <v>0.375161537999954</v>
      </c>
      <c r="X78" s="43" t="n">
        <f aca="false">IFERROR(SLOPE(C78:K78,{1,2,3,4,5,6,7,8,9})/AVERAGEIF(C78:K78,"&gt;0"),"n/a")</f>
        <v>0.103428396042019</v>
      </c>
      <c r="Y78" s="43" t="n">
        <f aca="false">IFERROR(SLOPE(H78:K78,{1,2,3,4})/AVERAGEIF(H78:K78,"&gt;0"),"n/a")</f>
        <v>0.420165030915757</v>
      </c>
      <c r="Z78" s="45" t="n">
        <f aca="false">IFERROR(H78/G78,"n/a")</f>
        <v>0.838270148710769</v>
      </c>
      <c r="AA78" s="45" t="n">
        <f aca="false">IFERROR(H78/F78,"n/a")</f>
        <v>0.680404438081603</v>
      </c>
      <c r="AB78" s="45" t="n">
        <v>0.944981486833426</v>
      </c>
      <c r="AC78" s="47" t="s">
        <v>101</v>
      </c>
      <c r="AD78" s="48" t="n">
        <v>0.0325</v>
      </c>
      <c r="AE78" s="49" t="s">
        <v>102</v>
      </c>
    </row>
    <row r="79" customFormat="false" ht="16.5" hidden="false" customHeight="true" outlineLevel="0" collapsed="false">
      <c r="A79" s="94" t="s">
        <v>210</v>
      </c>
      <c r="B79" s="95" t="s">
        <v>211</v>
      </c>
      <c r="C79" s="30" t="n">
        <v>93705</v>
      </c>
      <c r="D79" s="30" t="n">
        <v>107925</v>
      </c>
      <c r="E79" s="30" t="n">
        <v>181570</v>
      </c>
      <c r="F79" s="30" t="n">
        <v>185072</v>
      </c>
      <c r="G79" s="30" t="n">
        <v>193935</v>
      </c>
      <c r="H79" s="31" t="n">
        <v>274498</v>
      </c>
      <c r="I79" s="31" t="n">
        <v>298583</v>
      </c>
      <c r="J79" s="31" t="n">
        <v>134529</v>
      </c>
      <c r="K79" s="31" t="n">
        <v>180200</v>
      </c>
      <c r="L79" s="32" t="n">
        <v>133851</v>
      </c>
      <c r="M79" s="33" t="n">
        <f aca="false">IFERROR(AVERAGEIF(C79:G79,"&gt;0"),0)</f>
        <v>152441.4</v>
      </c>
      <c r="N79" s="34" t="n">
        <f aca="false">IFERROR(AVERAGEIF(H79:K79,"&gt;0"),0)</f>
        <v>221952.5</v>
      </c>
      <c r="O79" s="96" t="n">
        <f aca="false">N79-M79</f>
        <v>69511.1</v>
      </c>
      <c r="P79" s="36" t="n">
        <f aca="false">IFERROR(N79/M79,"n/a")</f>
        <v>1.4559857099187</v>
      </c>
      <c r="Q79" s="69" t="n">
        <f aca="false">IFERROR(N79/$C$3,0)</f>
        <v>0.000728275229015056</v>
      </c>
      <c r="R79" s="69" t="n">
        <f aca="false">IFERROR(O79/$D$4,0)</f>
        <v>0.000695735584097383</v>
      </c>
      <c r="S79" s="78" t="n">
        <f aca="false">IFERROR((Q79+R79)/2,0)</f>
        <v>0.000712005406556219</v>
      </c>
      <c r="T79" s="64" t="n">
        <v>0.996011034524008</v>
      </c>
      <c r="U79" s="40" t="n">
        <f aca="false">IFERROR(POWER(K79/C79,1/8)-1,"n/a")</f>
        <v>0.0851730576860248</v>
      </c>
      <c r="V79" s="58" t="n">
        <f aca="false">IFERROR(POWER(K79/H79,1/3)-1,"n/a")</f>
        <v>-0.130895762593583</v>
      </c>
      <c r="W79" s="53" t="n">
        <f aca="false">IFERROR(V79-U79,"n/a")</f>
        <v>-0.216068820279607</v>
      </c>
      <c r="X79" s="43" t="n">
        <f aca="false">IFERROR(SLOPE(C79:K79,{1,2,3,4,5,6,7,8,9})/AVERAGEIF(C79:K79,"&gt;0"),"n/a")</f>
        <v>0.0681123891450815</v>
      </c>
      <c r="Y79" s="59" t="n">
        <f aca="false">IFERROR(SLOPE(H79:K79,{1,2,3,4})/AVERAGEIF(H79:K79,"&gt;0"),"n/a")</f>
        <v>-0.201371014068325</v>
      </c>
      <c r="Z79" s="44" t="n">
        <f aca="false">IFERROR(H79/G79,"n/a")</f>
        <v>1.41541238043674</v>
      </c>
      <c r="AA79" s="45" t="n">
        <f aca="false">IFERROR(H79/F79,"n/a")</f>
        <v>1.48319572922971</v>
      </c>
      <c r="AB79" s="46" t="n">
        <v>0.769323766721859</v>
      </c>
      <c r="AC79" s="47" t="s">
        <v>121</v>
      </c>
      <c r="AD79" s="48" t="n">
        <v>0.05</v>
      </c>
      <c r="AE79" s="49" t="s">
        <v>122</v>
      </c>
    </row>
    <row r="80" customFormat="false" ht="16.5" hidden="false" customHeight="true" outlineLevel="0" collapsed="false">
      <c r="A80" s="94" t="s">
        <v>194</v>
      </c>
      <c r="B80" s="95" t="s">
        <v>195</v>
      </c>
      <c r="C80" s="30" t="n">
        <v>22301</v>
      </c>
      <c r="D80" s="30" t="n">
        <v>49291</v>
      </c>
      <c r="E80" s="30" t="n">
        <v>3965</v>
      </c>
      <c r="F80" s="30" t="n">
        <v>49249</v>
      </c>
      <c r="G80" s="30" t="n">
        <v>16703</v>
      </c>
      <c r="H80" s="31" t="n">
        <v>23838</v>
      </c>
      <c r="I80" s="31" t="n">
        <v>27356</v>
      </c>
      <c r="J80" s="31" t="n">
        <v>172728</v>
      </c>
      <c r="K80" s="31" t="n">
        <v>224755</v>
      </c>
      <c r="L80" s="32" t="n">
        <v>39727</v>
      </c>
      <c r="M80" s="33" t="n">
        <f aca="false">IFERROR(AVERAGEIF(C80:G80,"&gt;0"),0)</f>
        <v>28301.8</v>
      </c>
      <c r="N80" s="34" t="n">
        <f aca="false">IFERROR(AVERAGEIF(H80:K80,"&gt;0"),0)</f>
        <v>112169.25</v>
      </c>
      <c r="O80" s="96" t="n">
        <f aca="false">N80-M80</f>
        <v>83867.45</v>
      </c>
      <c r="P80" s="51" t="n">
        <f aca="false">IFERROR(N80/M80,"n/a")</f>
        <v>3.96332565419867</v>
      </c>
      <c r="Q80" s="69" t="n">
        <f aca="false">IFERROR(N80/$C$3,0)</f>
        <v>0.000368052111294971</v>
      </c>
      <c r="R80" s="69" t="n">
        <f aca="false">IFERROR(O80/$D$4,0)</f>
        <v>0.000839428081450417</v>
      </c>
      <c r="S80" s="78" t="n">
        <f aca="false">IFERROR((Q80+R80)/2,0)</f>
        <v>0.000603740096372694</v>
      </c>
      <c r="T80" s="64" t="n">
        <v>0.996619046755548</v>
      </c>
      <c r="U80" s="41" t="n">
        <f aca="false">IFERROR(POWER(K80/C80,1/8)-1,"n/a")</f>
        <v>0.334821299636054</v>
      </c>
      <c r="V80" s="41" t="n">
        <f aca="false">IFERROR(POWER(K80/H80,1/3)-1,"n/a")</f>
        <v>1.11258008867266</v>
      </c>
      <c r="W80" s="42" t="n">
        <f aca="false">IFERROR(V80-U80,"n/a")</f>
        <v>0.777758789036604</v>
      </c>
      <c r="X80" s="43" t="n">
        <f aca="false">IFERROR(SLOPE(C80:K80,{1,2,3,4,5,6,7,8,9})/AVERAGEIF(C80:K80,"&gt;0"),"n/a")</f>
        <v>0.305369324246932</v>
      </c>
      <c r="Y80" s="43" t="n">
        <f aca="false">IFERROR(SLOPE(H80:K80,{1,2,3,4})/AVERAGEIF(H80:K80,"&gt;0"),"n/a")</f>
        <v>0.666959081923076</v>
      </c>
      <c r="Z80" s="44" t="n">
        <f aca="false">IFERROR(H80/G80,"n/a")</f>
        <v>1.42716877207687</v>
      </c>
      <c r="AA80" s="45" t="n">
        <f aca="false">IFERROR(H80/F80,"n/a")</f>
        <v>0.484030132591525</v>
      </c>
      <c r="AB80" s="56" t="n">
        <v>4.4039193748138</v>
      </c>
      <c r="AC80" s="47" t="s">
        <v>101</v>
      </c>
      <c r="AD80" s="48" t="n">
        <v>0.0325</v>
      </c>
      <c r="AE80" s="49" t="s">
        <v>102</v>
      </c>
    </row>
    <row r="81" customFormat="false" ht="16.5" hidden="false" customHeight="true" outlineLevel="0" collapsed="false">
      <c r="A81" s="94" t="s">
        <v>150</v>
      </c>
      <c r="B81" s="95" t="s">
        <v>151</v>
      </c>
      <c r="C81" s="30" t="n">
        <v>150678</v>
      </c>
      <c r="D81" s="30" t="n">
        <v>196277</v>
      </c>
      <c r="E81" s="30" t="n">
        <v>137999</v>
      </c>
      <c r="F81" s="30" t="n">
        <v>307803</v>
      </c>
      <c r="G81" s="30" t="n">
        <v>206425</v>
      </c>
      <c r="H81" s="31" t="n">
        <v>203422</v>
      </c>
      <c r="I81" s="31" t="n">
        <v>199218</v>
      </c>
      <c r="J81" s="31" t="n">
        <v>280899</v>
      </c>
      <c r="K81" s="31" t="n">
        <v>247787</v>
      </c>
      <c r="L81" s="32" t="n">
        <v>364963</v>
      </c>
      <c r="M81" s="33" t="n">
        <f aca="false">IFERROR(AVERAGEIF(C81:G81,"&gt;0"),0)</f>
        <v>199836.4</v>
      </c>
      <c r="N81" s="34" t="n">
        <f aca="false">IFERROR(AVERAGEIF(H81:K81,"&gt;0"),0)</f>
        <v>232831.5</v>
      </c>
      <c r="O81" s="87" t="n">
        <f aca="false">N81-M81</f>
        <v>32995.1</v>
      </c>
      <c r="P81" s="91" t="n">
        <f aca="false">IFERROR(N81/M81,"n/a")</f>
        <v>1.16511056043844</v>
      </c>
      <c r="Q81" s="69" t="n">
        <f aca="false">IFERROR(N81/$C$3,0)</f>
        <v>0.000763971633500046</v>
      </c>
      <c r="R81" s="69" t="n">
        <f aca="false">IFERROR(O81/$D$4,0)</f>
        <v>0.000330247473725082</v>
      </c>
      <c r="S81" s="78" t="n">
        <f aca="false">IFERROR((Q81+R81)/2,0)</f>
        <v>0.000547109553612564</v>
      </c>
      <c r="T81" s="64" t="n">
        <v>0.997175024048219</v>
      </c>
      <c r="U81" s="40" t="n">
        <f aca="false">IFERROR(POWER(K81/C81,1/8)-1,"n/a")</f>
        <v>0.0641517996346388</v>
      </c>
      <c r="V81" s="40" t="n">
        <f aca="false">IFERROR(POWER(K81/H81,1/3)-1,"n/a")</f>
        <v>0.0679728181503845</v>
      </c>
      <c r="W81" s="71" t="n">
        <f aca="false">IFERROR(V81-U81,"n/a")</f>
        <v>0.00382101851574568</v>
      </c>
      <c r="X81" s="43" t="n">
        <f aca="false">IFERROR(SLOPE(C81:K81,{1,2,3,4,5,6,7,8,9})/AVERAGEIF(C81:K81,"&gt;0"),"n/a")</f>
        <v>0.0513097329821995</v>
      </c>
      <c r="Y81" s="43" t="n">
        <f aca="false">IFERROR(SLOPE(H81:K81,{1,2,3,4})/AVERAGEIF(H81:K81,"&gt;0"),"n/a")</f>
        <v>0.0922452503205107</v>
      </c>
      <c r="Z81" s="45" t="n">
        <f aca="false">IFERROR(H81/G81,"n/a")</f>
        <v>0.98545234346615</v>
      </c>
      <c r="AA81" s="45" t="n">
        <f aca="false">IFERROR(H81/F81,"n/a")</f>
        <v>0.660883747071991</v>
      </c>
      <c r="AB81" s="56" t="n">
        <v>1.88162254677739</v>
      </c>
      <c r="AC81" s="47" t="s">
        <v>80</v>
      </c>
      <c r="AD81" s="48" t="n">
        <v>0.025</v>
      </c>
      <c r="AE81" s="49" t="s">
        <v>81</v>
      </c>
    </row>
    <row r="82" customFormat="false" ht="16.5" hidden="false" customHeight="true" outlineLevel="0" collapsed="false">
      <c r="A82" s="94" t="s">
        <v>234</v>
      </c>
      <c r="B82" s="95" t="s">
        <v>235</v>
      </c>
      <c r="C82" s="30" t="n">
        <v>97198</v>
      </c>
      <c r="D82" s="30" t="n">
        <v>135201</v>
      </c>
      <c r="E82" s="30" t="n">
        <v>132520</v>
      </c>
      <c r="F82" s="30" t="n">
        <v>156691</v>
      </c>
      <c r="G82" s="30" t="n">
        <v>139633</v>
      </c>
      <c r="H82" s="31" t="n">
        <v>261916</v>
      </c>
      <c r="I82" s="31" t="n">
        <v>147096</v>
      </c>
      <c r="J82" s="31" t="n">
        <v>162485</v>
      </c>
      <c r="K82" s="31" t="n">
        <v>150483</v>
      </c>
      <c r="L82" s="32" t="n">
        <v>213772</v>
      </c>
      <c r="M82" s="33" t="n">
        <f aca="false">IFERROR(AVERAGEIF(C82:G82,"&gt;0"),0)</f>
        <v>132248.6</v>
      </c>
      <c r="N82" s="34" t="n">
        <f aca="false">IFERROR(AVERAGEIF(H82:K82,"&gt;0"),0)</f>
        <v>180495</v>
      </c>
      <c r="O82" s="87" t="n">
        <f aca="false">N82-M82</f>
        <v>48246.4</v>
      </c>
      <c r="P82" s="36" t="n">
        <f aca="false">IFERROR(N82/M82,"n/a")</f>
        <v>1.36481596024457</v>
      </c>
      <c r="Q82" s="69" t="n">
        <f aca="false">IFERROR(N82/$C$3,0)</f>
        <v>0.000592244004735574</v>
      </c>
      <c r="R82" s="69" t="n">
        <f aca="false">IFERROR(O82/$D$4,0)</f>
        <v>0.000482897512549736</v>
      </c>
      <c r="S82" s="78" t="n">
        <f aca="false">IFERROR((Q82+R82)/2,0)</f>
        <v>0.000537570758642655</v>
      </c>
      <c r="T82" s="64" t="n">
        <v>0.997719469231332</v>
      </c>
      <c r="U82" s="40" t="n">
        <f aca="false">IFERROR(POWER(K82/C82,1/8)-1,"n/a")</f>
        <v>0.056157686247553</v>
      </c>
      <c r="V82" s="58" t="n">
        <f aca="false">IFERROR(POWER(K82/H82,1/3)-1,"n/a")</f>
        <v>-0.168666776524169</v>
      </c>
      <c r="W82" s="53" t="n">
        <f aca="false">IFERROR(V82-U82,"n/a")</f>
        <v>-0.224824462771722</v>
      </c>
      <c r="X82" s="43" t="n">
        <f aca="false">IFERROR(SLOPE(C82:K82,{1,2,3,4,5,6,7,8,9})/AVERAGEIF(C82:K82,"&gt;0"),"n/a")</f>
        <v>0.0465617980614839</v>
      </c>
      <c r="Y82" s="59" t="n">
        <f aca="false">IFERROR(SLOPE(H82:K82,{1,2,3,4})/AVERAGEIF(H82:K82,"&gt;0"),"n/a")</f>
        <v>-0.176686334801518</v>
      </c>
      <c r="Z82" s="67" t="n">
        <f aca="false">IFERROR(H82/G82,"n/a")</f>
        <v>1.8757457048119</v>
      </c>
      <c r="AA82" s="67" t="n">
        <f aca="false">IFERROR(H82/F82,"n/a")</f>
        <v>1.67154463242943</v>
      </c>
      <c r="AB82" s="56" t="n">
        <v>1.45584826911179</v>
      </c>
      <c r="AC82" s="47" t="s">
        <v>101</v>
      </c>
      <c r="AD82" s="48" t="n">
        <v>0.0325</v>
      </c>
      <c r="AE82" s="49" t="s">
        <v>102</v>
      </c>
    </row>
    <row r="83" customFormat="false" ht="16.5" hidden="false" customHeight="true" outlineLevel="0" collapsed="false">
      <c r="A83" s="94" t="s">
        <v>204</v>
      </c>
      <c r="B83" s="95" t="s">
        <v>205</v>
      </c>
      <c r="C83" s="30" t="n">
        <v>32735</v>
      </c>
      <c r="D83" s="30" t="n">
        <v>28266</v>
      </c>
      <c r="E83" s="30" t="n">
        <v>20983</v>
      </c>
      <c r="F83" s="30" t="n">
        <v>78059</v>
      </c>
      <c r="G83" s="30" t="n">
        <v>46088</v>
      </c>
      <c r="H83" s="31" t="n">
        <v>57894</v>
      </c>
      <c r="I83" s="31" t="n">
        <v>77214</v>
      </c>
      <c r="J83" s="31" t="n">
        <v>119320</v>
      </c>
      <c r="K83" s="31" t="n">
        <v>107379</v>
      </c>
      <c r="L83" s="32" t="n">
        <v>318947</v>
      </c>
      <c r="M83" s="33" t="n">
        <f aca="false">IFERROR(AVERAGEIF(C83:G83,"&gt;0"),0)</f>
        <v>41226.2</v>
      </c>
      <c r="N83" s="34" t="n">
        <f aca="false">IFERROR(AVERAGEIF(H83:K83,"&gt;0"),0)</f>
        <v>90451.75</v>
      </c>
      <c r="O83" s="87" t="n">
        <f aca="false">N83-M83</f>
        <v>49225.55</v>
      </c>
      <c r="P83" s="51" t="n">
        <f aca="false">IFERROR(N83/M83,"n/a")</f>
        <v>2.19403558901863</v>
      </c>
      <c r="Q83" s="69" t="n">
        <f aca="false">IFERROR(N83/$C$3,0)</f>
        <v>0.000296792191780055</v>
      </c>
      <c r="R83" s="69" t="n">
        <f aca="false">IFERROR(O83/$D$4,0)</f>
        <v>0.000492697810590897</v>
      </c>
      <c r="S83" s="78" t="n">
        <f aca="false">IFERROR((Q83+R83)/2,0)</f>
        <v>0.000394745001185476</v>
      </c>
      <c r="T83" s="64" t="n">
        <v>0.998117659223923</v>
      </c>
      <c r="U83" s="40" t="n">
        <f aca="false">IFERROR(POWER(K83/C83,1/8)-1,"n/a")</f>
        <v>0.160081166501166</v>
      </c>
      <c r="V83" s="41" t="n">
        <f aca="false">IFERROR(POWER(K83/H83,1/3)-1,"n/a")</f>
        <v>0.22865117255074</v>
      </c>
      <c r="W83" s="71" t="n">
        <f aca="false">IFERROR(V83-U83,"n/a")</f>
        <v>0.0685700060495742</v>
      </c>
      <c r="X83" s="43" t="n">
        <f aca="false">IFERROR(SLOPE(C83:K83,{1,2,3,4,5,6,7,8,9})/AVERAGEIF(C83:K83,"&gt;0"),"n/a")</f>
        <v>0.175380499279851</v>
      </c>
      <c r="Y83" s="43" t="n">
        <f aca="false">IFERROR(SLOPE(H83:K83,{1,2,3,4})/AVERAGEIF(H83:K83,"&gt;0"),"n/a")</f>
        <v>0.210676963132278</v>
      </c>
      <c r="Z83" s="44" t="n">
        <f aca="false">IFERROR(H83/G83,"n/a")</f>
        <v>1.25616212463114</v>
      </c>
      <c r="AA83" s="45" t="n">
        <f aca="false">IFERROR(H83/F83,"n/a")</f>
        <v>0.741669762615458</v>
      </c>
      <c r="AB83" s="56" t="n">
        <v>3.10730306489371</v>
      </c>
      <c r="AC83" s="47" t="s">
        <v>347</v>
      </c>
      <c r="AD83" s="48" t="n">
        <v>0.0225</v>
      </c>
      <c r="AE83" s="49" t="s">
        <v>348</v>
      </c>
    </row>
    <row r="84" customFormat="false" ht="16.5" hidden="false" customHeight="true" outlineLevel="0" collapsed="false">
      <c r="A84" s="94" t="s">
        <v>145</v>
      </c>
      <c r="B84" s="95" t="s">
        <v>146</v>
      </c>
      <c r="C84" s="30" t="n">
        <v>2617</v>
      </c>
      <c r="D84" s="30" t="n">
        <v>1688</v>
      </c>
      <c r="E84" s="30" t="n">
        <v>66</v>
      </c>
      <c r="F84" s="30" t="n">
        <v>3800</v>
      </c>
      <c r="G84" s="30" t="n">
        <v>2283</v>
      </c>
      <c r="H84" s="31" t="n">
        <v>245</v>
      </c>
      <c r="I84" s="31" t="n">
        <v>142790</v>
      </c>
      <c r="J84" s="50" t="s">
        <v>84</v>
      </c>
      <c r="K84" s="31" t="n">
        <v>36803</v>
      </c>
      <c r="L84" s="32" t="n">
        <v>84579</v>
      </c>
      <c r="M84" s="33" t="n">
        <f aca="false">IFERROR(AVERAGEIF(C84:G84,"&gt;0"),0)</f>
        <v>2090.8</v>
      </c>
      <c r="N84" s="34" t="n">
        <f aca="false">IFERROR(AVERAGEIF(H84:K84,"&gt;0"),0)</f>
        <v>59946</v>
      </c>
      <c r="O84" s="96" t="n">
        <f aca="false">N84-M84</f>
        <v>57855.2</v>
      </c>
      <c r="P84" s="51" t="n">
        <f aca="false">IFERROR(N84/M84,"n/a")</f>
        <v>28.6713219820165</v>
      </c>
      <c r="Q84" s="69" t="n">
        <f aca="false">IFERROR(N84/$C$3,0)</f>
        <v>0.000196696080821512</v>
      </c>
      <c r="R84" s="69" t="n">
        <f aca="false">IFERROR(O84/$D$4,0)</f>
        <v>0.000579071851331239</v>
      </c>
      <c r="S84" s="78" t="n">
        <f aca="false">IFERROR((Q84+R84)/2,0)</f>
        <v>0.000387883966076375</v>
      </c>
      <c r="T84" s="64" t="n">
        <v>0.998507826323877</v>
      </c>
      <c r="U84" s="41" t="n">
        <f aca="false">IFERROR(POWER(K84/C84,1/8)-1,"n/a")</f>
        <v>0.391585636270834</v>
      </c>
      <c r="V84" s="41" t="n">
        <f aca="false">IFERROR(POWER(K84/H84,1/3)-1,"n/a")</f>
        <v>4.31584585502583</v>
      </c>
      <c r="W84" s="42" t="n">
        <f aca="false">IFERROR(V84-U84,"n/a")</f>
        <v>3.924260218755</v>
      </c>
      <c r="X84" s="43" t="n">
        <f aca="false">IFERROR(SLOPE(C84:K84,{1,2,3,4,5,6,7,8,9})/AVERAGEIF(C84:K84,"&gt;0"),"n/a")</f>
        <v>0.408759480944389</v>
      </c>
      <c r="Y84" s="43" t="n">
        <f aca="false">IFERROR(SLOPE(H84:K84,{1,2,3,4})/AVERAGEIF(H84:K84,"&gt;0"),"n/a")</f>
        <v>0.0479538727712084</v>
      </c>
      <c r="Z84" s="45" t="n">
        <f aca="false">IFERROR(H84/G84,"n/a")</f>
        <v>0.107314936487078</v>
      </c>
      <c r="AA84" s="45" t="n">
        <f aca="false">IFERROR(H84/F84,"n/a")</f>
        <v>0.0644736842105263</v>
      </c>
      <c r="AB84" s="56" t="n">
        <v>1.138619201726</v>
      </c>
      <c r="AC84" s="47" t="s">
        <v>331</v>
      </c>
      <c r="AD84" s="48" t="n">
        <v>0.0385</v>
      </c>
      <c r="AE84" s="49" t="s">
        <v>332</v>
      </c>
    </row>
    <row r="85" customFormat="false" ht="16.5" hidden="false" customHeight="true" outlineLevel="0" collapsed="false">
      <c r="A85" s="94" t="s">
        <v>115</v>
      </c>
      <c r="B85" s="95" t="s">
        <v>116</v>
      </c>
      <c r="C85" s="30" t="n">
        <v>52778</v>
      </c>
      <c r="D85" s="30" t="n">
        <v>55349</v>
      </c>
      <c r="E85" s="30" t="n">
        <v>88105</v>
      </c>
      <c r="F85" s="30" t="n">
        <v>71095</v>
      </c>
      <c r="G85" s="30" t="n">
        <v>85061</v>
      </c>
      <c r="H85" s="31" t="n">
        <v>123750</v>
      </c>
      <c r="I85" s="31" t="n">
        <v>104967</v>
      </c>
      <c r="J85" s="31" t="n">
        <v>111606</v>
      </c>
      <c r="K85" s="31" t="n">
        <v>77638</v>
      </c>
      <c r="L85" s="32" t="n">
        <v>72573</v>
      </c>
      <c r="M85" s="33" t="n">
        <f aca="false">IFERROR(AVERAGEIF(C85:G85,"&gt;0"),0)</f>
        <v>70477.6</v>
      </c>
      <c r="N85" s="34" t="n">
        <f aca="false">IFERROR(AVERAGEIF(H85:K85,"&gt;0"),0)</f>
        <v>104490.25</v>
      </c>
      <c r="O85" s="87" t="n">
        <f aca="false">N85-M85</f>
        <v>34012.65</v>
      </c>
      <c r="P85" s="36" t="n">
        <f aca="false">IFERROR(N85/M85,"n/a")</f>
        <v>1.4826022736302</v>
      </c>
      <c r="Q85" s="69" t="n">
        <f aca="false">IFERROR(N85/$C$3,0)</f>
        <v>0.000342855614370599</v>
      </c>
      <c r="R85" s="69" t="n">
        <f aca="false">IFERROR(O85/$D$4,0)</f>
        <v>0.000340432116805084</v>
      </c>
      <c r="S85" s="78" t="n">
        <f aca="false">IFERROR((Q85+R85)/2,0)</f>
        <v>0.000341643865587841</v>
      </c>
      <c r="T85" s="64" t="n">
        <v>0.998853449858329</v>
      </c>
      <c r="U85" s="70" t="n">
        <f aca="false">IFERROR(POWER(K85/C85,1/8)-1,"n/a")</f>
        <v>0.049428069552369</v>
      </c>
      <c r="V85" s="58" t="n">
        <f aca="false">IFERROR(POWER(K85/H85,1/3)-1,"n/a")</f>
        <v>-0.143929147339193</v>
      </c>
      <c r="W85" s="53" t="n">
        <f aca="false">IFERROR(V85-U85,"n/a")</f>
        <v>-0.193357216891562</v>
      </c>
      <c r="X85" s="43" t="n">
        <f aca="false">IFERROR(SLOPE(C85:K85,{1,2,3,4,5,6,7,8,9})/AVERAGEIF(C85:K85,"&gt;0"),"n/a")</f>
        <v>0.0690446797490488</v>
      </c>
      <c r="Y85" s="59" t="n">
        <f aca="false">IFERROR(SLOPE(H85:K85,{1,2,3,4})/AVERAGEIF(H85:K85,"&gt;0"),"n/a")</f>
        <v>-0.126037596809272</v>
      </c>
      <c r="Z85" s="44" t="n">
        <f aca="false">IFERROR(H85/G85,"n/a")</f>
        <v>1.45483829251949</v>
      </c>
      <c r="AA85" s="67" t="n">
        <f aca="false">IFERROR(H85/F85,"n/a")</f>
        <v>1.74062873619804</v>
      </c>
      <c r="AB85" s="45" t="n">
        <v>0.817323466384025</v>
      </c>
      <c r="AC85" s="47" t="s">
        <v>80</v>
      </c>
      <c r="AD85" s="48" t="n">
        <v>0.025</v>
      </c>
      <c r="AE85" s="49" t="s">
        <v>81</v>
      </c>
    </row>
    <row r="86" customFormat="false" ht="16.5" hidden="false" customHeight="true" outlineLevel="0" collapsed="false">
      <c r="A86" s="94" t="s">
        <v>275</v>
      </c>
      <c r="B86" s="95" t="s">
        <v>276</v>
      </c>
      <c r="C86" s="30" t="n">
        <v>1458</v>
      </c>
      <c r="D86" s="30" t="n">
        <v>10573</v>
      </c>
      <c r="E86" s="30" t="n">
        <v>17742</v>
      </c>
      <c r="F86" s="30" t="n">
        <v>15799</v>
      </c>
      <c r="G86" s="30" t="n">
        <v>16840</v>
      </c>
      <c r="H86" s="31" t="n">
        <v>15152</v>
      </c>
      <c r="I86" s="31" t="n">
        <v>28212</v>
      </c>
      <c r="J86" s="31" t="n">
        <v>40559</v>
      </c>
      <c r="K86" s="31" t="n">
        <v>55187</v>
      </c>
      <c r="L86" s="32" t="n">
        <v>58699</v>
      </c>
      <c r="M86" s="33" t="n">
        <f aca="false">IFERROR(AVERAGEIF(C86:G86,"&gt;0"),0)</f>
        <v>12482.4</v>
      </c>
      <c r="N86" s="34" t="n">
        <f aca="false">IFERROR(AVERAGEIF(H86:K86,"&gt;0"),0)</f>
        <v>34777.5</v>
      </c>
      <c r="O86" s="87" t="n">
        <f aca="false">N86-M86</f>
        <v>22295.1</v>
      </c>
      <c r="P86" s="51" t="n">
        <f aca="false">IFERROR(N86/M86,"n/a")</f>
        <v>2.78612286098827</v>
      </c>
      <c r="Q86" s="69" t="n">
        <f aca="false">IFERROR(N86/$C$3,0)</f>
        <v>0.000114112667246691</v>
      </c>
      <c r="R86" s="69" t="n">
        <f aca="false">IFERROR(O86/$D$4,0)</f>
        <v>0.000223151330089864</v>
      </c>
      <c r="S86" s="78" t="n">
        <f aca="false">IFERROR((Q86+R86)/2,0)</f>
        <v>0.000168631998668277</v>
      </c>
      <c r="T86" s="64" t="n">
        <v>0.999023406410569</v>
      </c>
      <c r="U86" s="41" t="n">
        <f aca="false">IFERROR(POWER(K86/C86,1/8)-1,"n/a")</f>
        <v>0.574925111808809</v>
      </c>
      <c r="V86" s="41" t="n">
        <f aca="false">IFERROR(POWER(K86/H86,1/3)-1,"n/a")</f>
        <v>0.538587765988017</v>
      </c>
      <c r="W86" s="53" t="n">
        <f aca="false">IFERROR(V86-U86,"n/a")</f>
        <v>-0.0363373458207914</v>
      </c>
      <c r="X86" s="43" t="n">
        <f aca="false">IFERROR(SLOPE(C86:K86,{1,2,3,4,5,6,7,8,9})/AVERAGEIF(C86:K86,"&gt;0"),"n/a")</f>
        <v>0.242033376008575</v>
      </c>
      <c r="Y86" s="43" t="n">
        <f aca="false">IFERROR(SLOPE(H86:K86,{1,2,3,4})/AVERAGEIF(H86:K86,"&gt;0"),"n/a")</f>
        <v>0.380855438142477</v>
      </c>
      <c r="Z86" s="45" t="n">
        <f aca="false">IFERROR(H86/G86,"n/a")</f>
        <v>0.899762470308789</v>
      </c>
      <c r="AA86" s="45" t="n">
        <f aca="false">IFERROR(H86/F86,"n/a")</f>
        <v>0.959048041015254</v>
      </c>
      <c r="AB86" s="56" t="n">
        <v>3.48597991996741</v>
      </c>
      <c r="AC86" s="47" t="s">
        <v>111</v>
      </c>
      <c r="AD86" s="48" t="n">
        <v>0.075</v>
      </c>
      <c r="AE86" s="49" t="s">
        <v>112</v>
      </c>
    </row>
    <row r="87" customFormat="false" ht="16.5" hidden="false" customHeight="true" outlineLevel="0" collapsed="false">
      <c r="A87" s="94" t="s">
        <v>212</v>
      </c>
      <c r="B87" s="95" t="s">
        <v>213</v>
      </c>
      <c r="C87" s="30" t="n">
        <v>38327</v>
      </c>
      <c r="D87" s="30" t="n">
        <v>41443</v>
      </c>
      <c r="E87" s="30" t="n">
        <v>43515</v>
      </c>
      <c r="F87" s="30" t="n">
        <v>22955</v>
      </c>
      <c r="G87" s="30" t="n">
        <v>42310</v>
      </c>
      <c r="H87" s="31" t="n">
        <v>29605</v>
      </c>
      <c r="I87" s="31" t="n">
        <v>111524</v>
      </c>
      <c r="J87" s="31" t="n">
        <v>38735</v>
      </c>
      <c r="K87" s="31" t="n">
        <v>27076</v>
      </c>
      <c r="L87" s="32" t="n">
        <v>44348</v>
      </c>
      <c r="M87" s="33" t="n">
        <f aca="false">IFERROR(AVERAGEIF(C87:G87,"&gt;0"),0)</f>
        <v>37710</v>
      </c>
      <c r="N87" s="34" t="n">
        <f aca="false">IFERROR(AVERAGEIF(H87:K87,"&gt;0"),0)</f>
        <v>51735</v>
      </c>
      <c r="O87" s="87" t="n">
        <f aca="false">N87-M87</f>
        <v>14025</v>
      </c>
      <c r="P87" s="36" t="n">
        <f aca="false">IFERROR(N87/M87,"n/a")</f>
        <v>1.37191726332538</v>
      </c>
      <c r="Q87" s="69" t="n">
        <f aca="false">IFERROR(N87/$C$3,0)</f>
        <v>0.000169753974265187</v>
      </c>
      <c r="R87" s="69" t="n">
        <f aca="false">IFERROR(O87/$D$4,0)</f>
        <v>0.000140376020045227</v>
      </c>
      <c r="S87" s="78" t="n">
        <f aca="false">IFERROR((Q87+R87)/2,0)</f>
        <v>0.000155064997155207</v>
      </c>
      <c r="T87" s="64" t="n">
        <v>0.999180441813276</v>
      </c>
      <c r="U87" s="58" t="n">
        <f aca="false">IFERROR(POWER(K87/C87,1/8)-1,"n/a")</f>
        <v>-0.0425084281877639</v>
      </c>
      <c r="V87" s="58" t="n">
        <f aca="false">IFERROR(POWER(K87/H87,1/3)-1,"n/a")</f>
        <v>-0.02932655945942</v>
      </c>
      <c r="W87" s="71" t="n">
        <f aca="false">IFERROR(V87-U87,"n/a")</f>
        <v>0.0131818687283439</v>
      </c>
      <c r="X87" s="43" t="n">
        <f aca="false">IFERROR(SLOPE(C87:K87,{1,2,3,4,5,6,7,8,9})/AVERAGEIF(C87:K87,"&gt;0"),"n/a")</f>
        <v>0.0339604035500265</v>
      </c>
      <c r="Y87" s="59" t="n">
        <f aca="false">IFERROR(SLOPE(H87:K87,{1,2,3,4})/AVERAGEIF(H87:K87,"&gt;0"),"n/a")</f>
        <v>-0.155360974195419</v>
      </c>
      <c r="Z87" s="45" t="n">
        <f aca="false">IFERROR(H87/G87,"n/a")</f>
        <v>0.699716379106594</v>
      </c>
      <c r="AA87" s="45" t="n">
        <f aca="false">IFERROR(H87/F87,"n/a")</f>
        <v>1.28969723371814</v>
      </c>
      <c r="AB87" s="46" t="n">
        <v>0.761077284881286</v>
      </c>
      <c r="AC87" s="47" t="s">
        <v>335</v>
      </c>
      <c r="AD87" s="48" t="n">
        <v>0.1</v>
      </c>
      <c r="AE87" s="66" t="s">
        <v>165</v>
      </c>
    </row>
    <row r="88" customFormat="false" ht="16.5" hidden="false" customHeight="true" outlineLevel="0" collapsed="false">
      <c r="A88" s="94" t="s">
        <v>154</v>
      </c>
      <c r="B88" s="95" t="s">
        <v>155</v>
      </c>
      <c r="C88" s="30" t="n">
        <v>14582</v>
      </c>
      <c r="D88" s="30" t="n">
        <v>16922</v>
      </c>
      <c r="E88" s="30" t="n">
        <v>52699</v>
      </c>
      <c r="F88" s="30" t="n">
        <v>15856</v>
      </c>
      <c r="G88" s="30" t="n">
        <v>27073</v>
      </c>
      <c r="H88" s="31" t="n">
        <v>30787</v>
      </c>
      <c r="I88" s="31" t="n">
        <v>35319</v>
      </c>
      <c r="J88" s="31" t="n">
        <v>38275</v>
      </c>
      <c r="K88" s="31" t="n">
        <v>59647</v>
      </c>
      <c r="L88" s="32" t="n">
        <v>68345</v>
      </c>
      <c r="M88" s="33" t="n">
        <f aca="false">IFERROR(AVERAGEIF(C88:G88,"&gt;0"),0)</f>
        <v>25426.4</v>
      </c>
      <c r="N88" s="34" t="n">
        <f aca="false">IFERROR(AVERAGEIF(H88:K88,"&gt;0"),0)</f>
        <v>41007</v>
      </c>
      <c r="O88" s="87" t="n">
        <f aca="false">N88-M88</f>
        <v>15580.6</v>
      </c>
      <c r="P88" s="36" t="n">
        <f aca="false">IFERROR(N88/M88,"n/a")</f>
        <v>1.61277255136394</v>
      </c>
      <c r="Q88" s="69" t="n">
        <f aca="false">IFERROR(N88/$C$3,0)</f>
        <v>0.000134553034168213</v>
      </c>
      <c r="R88" s="69" t="n">
        <f aca="false">IFERROR(O88/$D$4,0)</f>
        <v>0.000155945997712418</v>
      </c>
      <c r="S88" s="78" t="n">
        <f aca="false">IFERROR((Q88+R88)/2,0)</f>
        <v>0.000145249515940316</v>
      </c>
      <c r="T88" s="64" t="n">
        <v>0.999327253142697</v>
      </c>
      <c r="U88" s="40" t="n">
        <f aca="false">IFERROR(POWER(K88/C88,1/8)-1,"n/a")</f>
        <v>0.192535836993072</v>
      </c>
      <c r="V88" s="41" t="n">
        <f aca="false">IFERROR(POWER(K88/H88,1/3)-1,"n/a")</f>
        <v>0.246638144368588</v>
      </c>
      <c r="W88" s="71" t="n">
        <f aca="false">IFERROR(V88-U88,"n/a")</f>
        <v>0.0541023073755165</v>
      </c>
      <c r="X88" s="43" t="n">
        <f aca="false">IFERROR(SLOPE(C88:K88,{1,2,3,4,5,6,7,8,9})/AVERAGEIF(C88:K88,"&gt;0"),"n/a")</f>
        <v>0.115652905618904</v>
      </c>
      <c r="Y88" s="43" t="n">
        <f aca="false">IFERROR(SLOPE(H88:K88,{1,2,3,4})/AVERAGEIF(H88:K88,"&gt;0"),"n/a")</f>
        <v>0.218343209695906</v>
      </c>
      <c r="Z88" s="44" t="n">
        <f aca="false">IFERROR(H88/G88,"n/a")</f>
        <v>1.1371846489122</v>
      </c>
      <c r="AA88" s="67" t="n">
        <f aca="false">IFERROR(H88/F88,"n/a")</f>
        <v>1.94166246215944</v>
      </c>
      <c r="AB88" s="56" t="n">
        <v>1.85091976166671</v>
      </c>
      <c r="AC88" s="47" t="s">
        <v>328</v>
      </c>
      <c r="AD88" s="48" t="n">
        <v>0.0235</v>
      </c>
      <c r="AE88" s="49" t="s">
        <v>329</v>
      </c>
    </row>
    <row r="89" customFormat="false" ht="16.5" hidden="false" customHeight="true" outlineLevel="0" collapsed="false">
      <c r="A89" s="94" t="s">
        <v>123</v>
      </c>
      <c r="B89" s="95" t="s">
        <v>124</v>
      </c>
      <c r="C89" s="30" t="n">
        <v>44279</v>
      </c>
      <c r="D89" s="30" t="n">
        <v>57911</v>
      </c>
      <c r="E89" s="30" t="n">
        <v>45911</v>
      </c>
      <c r="F89" s="30" t="n">
        <v>54926</v>
      </c>
      <c r="G89" s="30" t="n">
        <v>62440</v>
      </c>
      <c r="H89" s="31" t="n">
        <v>69797</v>
      </c>
      <c r="I89" s="31" t="n">
        <v>40217</v>
      </c>
      <c r="J89" s="31" t="n">
        <v>77378</v>
      </c>
      <c r="K89" s="31" t="n">
        <v>49591</v>
      </c>
      <c r="L89" s="32" t="n">
        <v>39107</v>
      </c>
      <c r="M89" s="33" t="n">
        <f aca="false">IFERROR(AVERAGEIF(C89:G89,"&gt;0"),0)</f>
        <v>53093.4</v>
      </c>
      <c r="N89" s="34" t="n">
        <f aca="false">IFERROR(AVERAGEIF(H89:K89,"&gt;0"),0)</f>
        <v>59245.75</v>
      </c>
      <c r="O89" s="87" t="n">
        <f aca="false">N89-M89</f>
        <v>6152.35</v>
      </c>
      <c r="P89" s="91" t="n">
        <f aca="false">IFERROR(N89/M89,"n/a")</f>
        <v>1.11587786805893</v>
      </c>
      <c r="Q89" s="69" t="n">
        <f aca="false">IFERROR(N89/$C$3,0)</f>
        <v>0.000194398405737348</v>
      </c>
      <c r="R89" s="69" t="n">
        <f aca="false">IFERROR(O89/$D$4,0)</f>
        <v>6.15787812424423E-005</v>
      </c>
      <c r="S89" s="78" t="n">
        <f aca="false">IFERROR((Q89+R89)/2,0)</f>
        <v>0.000127988593489895</v>
      </c>
      <c r="T89" s="64" t="n">
        <v>0.999457498199988</v>
      </c>
      <c r="U89" s="70" t="n">
        <f aca="false">IFERROR(POWER(K89/C89,1/8)-1,"n/a")</f>
        <v>0.0142631164662264</v>
      </c>
      <c r="V89" s="58" t="n">
        <f aca="false">IFERROR(POWER(K89/H89,1/3)-1,"n/a")</f>
        <v>-0.107677104186577</v>
      </c>
      <c r="W89" s="53" t="n">
        <f aca="false">IFERROR(V89-U89,"n/a")</f>
        <v>-0.121940220652804</v>
      </c>
      <c r="X89" s="43" t="n">
        <f aca="false">IFERROR(SLOPE(C89:K89,{1,2,3,4,5,6,7,8,9})/AVERAGEIF(C89:K89,"&gt;0"),"n/a")</f>
        <v>0.0248179918399841</v>
      </c>
      <c r="Y89" s="59" t="n">
        <f aca="false">IFERROR(SLOPE(H89:K89,{1,2,3,4})/AVERAGEIF(H89:K89,"&gt;0"),"n/a")</f>
        <v>-0.0395927134013832</v>
      </c>
      <c r="Z89" s="44" t="n">
        <f aca="false">IFERROR(H89/G89,"n/a")</f>
        <v>1.11782511210762</v>
      </c>
      <c r="AA89" s="45" t="n">
        <f aca="false">IFERROR(H89/F89,"n/a")</f>
        <v>1.27074609474566</v>
      </c>
      <c r="AB89" s="46" t="n">
        <v>0.782205193340169</v>
      </c>
      <c r="AC89" s="47" t="s">
        <v>335</v>
      </c>
      <c r="AD89" s="48" t="n">
        <v>0.1</v>
      </c>
      <c r="AE89" s="66" t="s">
        <v>165</v>
      </c>
    </row>
    <row r="90" customFormat="false" ht="16.5" hidden="false" customHeight="true" outlineLevel="0" collapsed="false">
      <c r="A90" s="94" t="s">
        <v>143</v>
      </c>
      <c r="B90" s="95" t="s">
        <v>144</v>
      </c>
      <c r="C90" s="30" t="n">
        <v>4161</v>
      </c>
      <c r="D90" s="30" t="n">
        <v>8907</v>
      </c>
      <c r="E90" s="30" t="n">
        <v>5621</v>
      </c>
      <c r="F90" s="30" t="n">
        <v>6073</v>
      </c>
      <c r="G90" s="30" t="n">
        <v>19661</v>
      </c>
      <c r="H90" s="31" t="n">
        <v>42815</v>
      </c>
      <c r="I90" s="31" t="n">
        <v>16677</v>
      </c>
      <c r="J90" s="31" t="n">
        <v>9552</v>
      </c>
      <c r="K90" s="31" t="n">
        <v>15319</v>
      </c>
      <c r="L90" s="32" t="n">
        <v>24235</v>
      </c>
      <c r="M90" s="33" t="n">
        <f aca="false">IFERROR(AVERAGEIF(C90:G90,"&gt;0"),0)</f>
        <v>8884.6</v>
      </c>
      <c r="N90" s="34" t="n">
        <f aca="false">IFERROR(AVERAGEIF(H90:K90,"&gt;0"),0)</f>
        <v>21090.75</v>
      </c>
      <c r="O90" s="87" t="n">
        <f aca="false">N90-M90</f>
        <v>12206.15</v>
      </c>
      <c r="P90" s="51" t="n">
        <f aca="false">IFERROR(N90/M90,"n/a")</f>
        <v>2.37385475992166</v>
      </c>
      <c r="Q90" s="69" t="n">
        <f aca="false">IFERROR(N90/$C$3,0)</f>
        <v>6.92034141825359E-005</v>
      </c>
      <c r="R90" s="69" t="n">
        <f aca="false">IFERROR(O90/$D$4,0)</f>
        <v>0.000122171176975048</v>
      </c>
      <c r="S90" s="78" t="n">
        <f aca="false">IFERROR((Q90+R90)/2,0)</f>
        <v>9.5687295578792E-005</v>
      </c>
      <c r="T90" s="64" t="n">
        <v>0.999553988768609</v>
      </c>
      <c r="U90" s="40" t="n">
        <f aca="false">IFERROR(POWER(K90/C90,1/8)-1,"n/a")</f>
        <v>0.176939361316354</v>
      </c>
      <c r="V90" s="58" t="n">
        <f aca="false">IFERROR(POWER(K90/H90,1/3)-1,"n/a")</f>
        <v>-0.29007660335431</v>
      </c>
      <c r="W90" s="53" t="n">
        <f aca="false">IFERROR(V90-U90,"n/a")</f>
        <v>-0.467015964670664</v>
      </c>
      <c r="X90" s="43" t="n">
        <f aca="false">IFERROR(SLOPE(C90:K90,{1,2,3,4,5,6,7,8,9})/AVERAGEIF(C90:K90,"&gt;0"),"n/a")</f>
        <v>0.122786250058236</v>
      </c>
      <c r="Y90" s="59" t="n">
        <f aca="false">IFERROR(SLOPE(H90:K90,{1,2,3,4})/AVERAGEIF(H90:K90,"&gt;0"),"n/a")</f>
        <v>-0.424892429145478</v>
      </c>
      <c r="Z90" s="80" t="n">
        <f aca="false">IFERROR(H90/G90,"n/a")</f>
        <v>2.1776613600529</v>
      </c>
      <c r="AA90" s="55" t="n">
        <f aca="false">IFERROR(H90/F90,"n/a")</f>
        <v>7.05005763214227</v>
      </c>
      <c r="AB90" s="56" t="n">
        <v>1.49403569495316</v>
      </c>
      <c r="AC90" s="47" t="s">
        <v>164</v>
      </c>
      <c r="AD90" s="48" t="n">
        <v>0.1</v>
      </c>
      <c r="AE90" s="66" t="s">
        <v>165</v>
      </c>
    </row>
    <row r="91" customFormat="false" ht="16.5" hidden="false" customHeight="true" outlineLevel="0" collapsed="false">
      <c r="A91" s="94" t="s">
        <v>253</v>
      </c>
      <c r="B91" s="95" t="s">
        <v>254</v>
      </c>
      <c r="C91" s="30" t="n">
        <v>7993</v>
      </c>
      <c r="D91" s="30" t="n">
        <v>951</v>
      </c>
      <c r="E91" s="30" t="n">
        <v>21923</v>
      </c>
      <c r="F91" s="30" t="n">
        <v>9245</v>
      </c>
      <c r="G91" s="30" t="n">
        <v>48382</v>
      </c>
      <c r="H91" s="31" t="n">
        <v>37140</v>
      </c>
      <c r="I91" s="31" t="n">
        <v>17949</v>
      </c>
      <c r="J91" s="31" t="n">
        <v>11952</v>
      </c>
      <c r="K91" s="31" t="n">
        <v>26276</v>
      </c>
      <c r="L91" s="32" t="n">
        <v>9695</v>
      </c>
      <c r="M91" s="33" t="n">
        <f aca="false">IFERROR(AVERAGEIF(C91:G91,"&gt;0"),0)</f>
        <v>17698.8</v>
      </c>
      <c r="N91" s="34" t="n">
        <f aca="false">IFERROR(AVERAGEIF(H91:K91,"&gt;0"),0)</f>
        <v>23329.25</v>
      </c>
      <c r="O91" s="87" t="n">
        <f aca="false">N91-M91</f>
        <v>5630.45</v>
      </c>
      <c r="P91" s="36" t="n">
        <f aca="false">IFERROR(N91/M91,"n/a")</f>
        <v>1.31812608764436</v>
      </c>
      <c r="Q91" s="69" t="n">
        <f aca="false">IFERROR(N91/$C$3,0)</f>
        <v>7.65484276432998E-005</v>
      </c>
      <c r="R91" s="69" t="n">
        <f aca="false">IFERROR(O91/$D$4,0)</f>
        <v>5.63550917692442E-005</v>
      </c>
      <c r="S91" s="78" t="n">
        <f aca="false">IFERROR((Q91+R91)/2,0)</f>
        <v>6.6451759706272E-005</v>
      </c>
      <c r="T91" s="64" t="n">
        <v>0.99962132905801</v>
      </c>
      <c r="U91" s="40" t="n">
        <f aca="false">IFERROR(POWER(K91/C91,1/8)-1,"n/a")</f>
        <v>0.1603958849773</v>
      </c>
      <c r="V91" s="58" t="n">
        <f aca="false">IFERROR(POWER(K91/H91,1/3)-1,"n/a")</f>
        <v>-0.108942387966508</v>
      </c>
      <c r="W91" s="53" t="n">
        <f aca="false">IFERROR(V91-U91,"n/a")</f>
        <v>-0.269338272943808</v>
      </c>
      <c r="X91" s="43" t="n">
        <f aca="false">IFERROR(SLOPE(C91:K91,{1,2,3,4,5,6,7,8,9})/AVERAGEIF(C91:K91,"&gt;0"),"n/a")</f>
        <v>0.104021758859475</v>
      </c>
      <c r="Y91" s="59" t="n">
        <f aca="false">IFERROR(SLOPE(H91:K91,{1,2,3,4})/AVERAGEIF(H91:K91,"&gt;0"),"n/a")</f>
        <v>-0.165410375387121</v>
      </c>
      <c r="Z91" s="45" t="n">
        <f aca="false">IFERROR(H91/G91,"n/a")</f>
        <v>0.767640858170394</v>
      </c>
      <c r="AA91" s="55" t="n">
        <f aca="false">IFERROR(H91/F91,"n/a")</f>
        <v>4.01730665224446</v>
      </c>
      <c r="AB91" s="46" t="n">
        <v>0.669845794442599</v>
      </c>
      <c r="AC91" s="85" t="s">
        <v>139</v>
      </c>
      <c r="AD91" s="86" t="s">
        <v>140</v>
      </c>
      <c r="AE91" s="86" t="s">
        <v>84</v>
      </c>
    </row>
    <row r="92" customFormat="false" ht="16.5" hidden="false" customHeight="true" outlineLevel="0" collapsed="false">
      <c r="A92" s="94" t="s">
        <v>109</v>
      </c>
      <c r="B92" s="95" t="s">
        <v>110</v>
      </c>
      <c r="C92" s="30" t="n">
        <v>14012</v>
      </c>
      <c r="D92" s="30" t="n">
        <v>8687</v>
      </c>
      <c r="E92" s="30" t="n">
        <v>54535</v>
      </c>
      <c r="F92" s="30" t="n">
        <v>15683</v>
      </c>
      <c r="G92" s="30" t="n">
        <v>22015</v>
      </c>
      <c r="H92" s="31" t="n">
        <v>7627</v>
      </c>
      <c r="I92" s="31" t="n">
        <v>12399</v>
      </c>
      <c r="J92" s="31" t="n">
        <v>46869</v>
      </c>
      <c r="K92" s="31" t="n">
        <v>31710</v>
      </c>
      <c r="L92" s="32" t="n">
        <v>63386</v>
      </c>
      <c r="M92" s="33" t="n">
        <f aca="false">IFERROR(AVERAGEIF(C92:G92,"&gt;0"),0)</f>
        <v>22986.4</v>
      </c>
      <c r="N92" s="34" t="n">
        <f aca="false">IFERROR(AVERAGEIF(H92:K92,"&gt;0"),0)</f>
        <v>24651.25</v>
      </c>
      <c r="O92" s="87" t="n">
        <f aca="false">N92-M92</f>
        <v>1664.85</v>
      </c>
      <c r="P92" s="91" t="n">
        <f aca="false">IFERROR(N92/M92,"n/a")</f>
        <v>1.07242760936902</v>
      </c>
      <c r="Q92" s="69" t="n">
        <f aca="false">IFERROR(N92/$C$3,0)</f>
        <v>8.08862019542803E-005</v>
      </c>
      <c r="R92" s="69" t="n">
        <f aca="false">IFERROR(O92/$D$4,0)</f>
        <v>1.66634593206628E-005</v>
      </c>
      <c r="S92" s="78" t="n">
        <f aca="false">IFERROR((Q92+R92)/2,0)</f>
        <v>4.87748306374716E-005</v>
      </c>
      <c r="T92" s="64" t="n">
        <v>0.999671042768706</v>
      </c>
      <c r="U92" s="40" t="n">
        <f aca="false">IFERROR(POWER(K92/C92,1/8)-1,"n/a")</f>
        <v>0.107482861531041</v>
      </c>
      <c r="V92" s="41" t="n">
        <f aca="false">IFERROR(POWER(K92/H92,1/3)-1,"n/a")</f>
        <v>0.607980700416257</v>
      </c>
      <c r="W92" s="42" t="n">
        <f aca="false">IFERROR(V92-U92,"n/a")</f>
        <v>0.500497838885216</v>
      </c>
      <c r="X92" s="43" t="n">
        <f aca="false">IFERROR(SLOPE(C92:K92,{1,2,3,4,5,6,7,8,9})/AVERAGEIF(C92:K92,"&gt;0"),"n/a")</f>
        <v>0.0653352814734683</v>
      </c>
      <c r="Y92" s="43" t="n">
        <f aca="false">IFERROR(SLOPE(H92:K92,{1,2,3,4})/AVERAGEIF(H92:K92,"&gt;0"),"n/a")</f>
        <v>0.432915166573703</v>
      </c>
      <c r="Z92" s="45" t="n">
        <f aca="false">IFERROR(H92/G92,"n/a")</f>
        <v>0.346445605269135</v>
      </c>
      <c r="AA92" s="45" t="n">
        <f aca="false">IFERROR(H92/F92,"n/a")</f>
        <v>0.486322769878212</v>
      </c>
      <c r="AB92" s="56" t="n">
        <v>2.16643510302047</v>
      </c>
      <c r="AC92" s="47" t="s">
        <v>164</v>
      </c>
      <c r="AD92" s="48" t="n">
        <v>0.1</v>
      </c>
      <c r="AE92" s="66" t="s">
        <v>165</v>
      </c>
    </row>
    <row r="93" customFormat="false" ht="16.5" hidden="false" customHeight="true" outlineLevel="0" collapsed="false">
      <c r="A93" s="94" t="s">
        <v>180</v>
      </c>
      <c r="B93" s="95" t="s">
        <v>181</v>
      </c>
      <c r="C93" s="50" t="s">
        <v>84</v>
      </c>
      <c r="D93" s="30" t="n">
        <v>88</v>
      </c>
      <c r="E93" s="50" t="s">
        <v>84</v>
      </c>
      <c r="F93" s="50" t="s">
        <v>84</v>
      </c>
      <c r="G93" s="50" t="s">
        <v>84</v>
      </c>
      <c r="H93" s="31" t="n">
        <v>4542</v>
      </c>
      <c r="I93" s="31" t="n">
        <v>13914</v>
      </c>
      <c r="J93" s="31" t="n">
        <v>4383</v>
      </c>
      <c r="K93" s="31" t="n">
        <v>4153</v>
      </c>
      <c r="L93" s="32" t="n">
        <v>1686</v>
      </c>
      <c r="M93" s="33" t="n">
        <f aca="false">IFERROR(AVERAGEIF(C93:G93,"&gt;0"),0)</f>
        <v>88</v>
      </c>
      <c r="N93" s="34" t="n">
        <f aca="false">IFERROR(AVERAGEIF(H93:K93,"&gt;0"),0)</f>
        <v>6748</v>
      </c>
      <c r="O93" s="87" t="n">
        <f aca="false">N93-M93</f>
        <v>6660</v>
      </c>
      <c r="P93" s="51" t="n">
        <f aca="false">IFERROR(N93/M93,"n/a")</f>
        <v>76.6818181818182</v>
      </c>
      <c r="Q93" s="69" t="n">
        <f aca="false">IFERROR(N93/$C$3,0)</f>
        <v>2.21416800684543E-005</v>
      </c>
      <c r="R93" s="69" t="n">
        <f aca="false">IFERROR(O93/$D$4,0)</f>
        <v>6.66598426738833E-005</v>
      </c>
      <c r="S93" s="78" t="n">
        <f aca="false">IFERROR((Q93+R93)/2,0)</f>
        <v>4.44007613711688E-005</v>
      </c>
      <c r="T93" s="64" t="n">
        <v>0.999715700537841</v>
      </c>
      <c r="U93" s="41" t="str">
        <f aca="false">IFERROR(POWER(K93/C93,1/8)-1,"n/a")</f>
        <v>n/a</v>
      </c>
      <c r="V93" s="58" t="n">
        <f aca="false">IFERROR(POWER(K93/H93,1/3)-1,"n/a")</f>
        <v>-0.0294045142506477</v>
      </c>
      <c r="W93" s="53" t="str">
        <f aca="false">IFERROR(V93-U93,"n/a")</f>
        <v>n/a</v>
      </c>
      <c r="X93" s="43" t="n">
        <f aca="false">IFERROR(SLOPE(C93:K93,{1,2,3,4,5,6,7,8,9})/AVERAGEIF(C93:K93,"&gt;0"),"n/a")</f>
        <v>0.151472805082859</v>
      </c>
      <c r="Y93" s="59" t="n">
        <f aca="false">IFERROR(SLOPE(H93:K93,{1,2,3,4})/AVERAGEIF(H93:K93,"&gt;0"),"n/a")</f>
        <v>-0.158535862477771</v>
      </c>
      <c r="Z93" s="45" t="str">
        <f aca="false">IFERROR(H93/G93,"n/a")</f>
        <v>n/a</v>
      </c>
      <c r="AA93" s="45" t="str">
        <f aca="false">IFERROR(H93/F93,"n/a")</f>
        <v>n/a</v>
      </c>
      <c r="AB93" s="46" t="n">
        <v>0.458555621418692</v>
      </c>
      <c r="AC93" s="47" t="s">
        <v>111</v>
      </c>
      <c r="AD93" s="48" t="n">
        <v>0.075</v>
      </c>
      <c r="AE93" s="49" t="s">
        <v>112</v>
      </c>
    </row>
    <row r="94" customFormat="false" ht="16.5" hidden="false" customHeight="true" outlineLevel="0" collapsed="false">
      <c r="A94" s="94" t="s">
        <v>156</v>
      </c>
      <c r="B94" s="95" t="s">
        <v>157</v>
      </c>
      <c r="C94" s="30" t="n">
        <v>103</v>
      </c>
      <c r="D94" s="30" t="n">
        <v>246</v>
      </c>
      <c r="E94" s="30" t="n">
        <v>26</v>
      </c>
      <c r="F94" s="30" t="n">
        <v>205</v>
      </c>
      <c r="G94" s="30" t="n">
        <v>24</v>
      </c>
      <c r="H94" s="50" t="s">
        <v>84</v>
      </c>
      <c r="I94" s="31" t="n">
        <v>3188</v>
      </c>
      <c r="J94" s="31" t="n">
        <v>8451</v>
      </c>
      <c r="K94" s="31" t="n">
        <v>7288</v>
      </c>
      <c r="L94" s="32" t="n">
        <v>18716</v>
      </c>
      <c r="M94" s="33" t="n">
        <f aca="false">IFERROR(AVERAGEIF(C94:G94,"&gt;0"),0)</f>
        <v>120.8</v>
      </c>
      <c r="N94" s="34" t="n">
        <f aca="false">IFERROR(AVERAGEIF(H94:K94,"&gt;0"),0)</f>
        <v>6309</v>
      </c>
      <c r="O94" s="87" t="n">
        <f aca="false">N94-M94</f>
        <v>6188.2</v>
      </c>
      <c r="P94" s="51" t="n">
        <f aca="false">IFERROR(N94/M94,"n/a")</f>
        <v>52.226821192053</v>
      </c>
      <c r="Q94" s="69" t="n">
        <f aca="false">IFERROR(N94/$C$3,0)</f>
        <v>2.07012239999819E-005</v>
      </c>
      <c r="R94" s="69" t="n">
        <f aca="false">IFERROR(O94/$D$4,0)</f>
        <v>6.19376033685472E-005</v>
      </c>
      <c r="S94" s="78" t="n">
        <f aca="false">IFERROR((Q94+R94)/2,0)</f>
        <v>4.13194136842646E-005</v>
      </c>
      <c r="T94" s="64" t="n">
        <v>0.999757260239311</v>
      </c>
      <c r="U94" s="41" t="n">
        <f aca="false">IFERROR(POWER(K94/C94,1/8)-1,"n/a")</f>
        <v>0.703026447213304</v>
      </c>
      <c r="V94" s="41" t="str">
        <f aca="false">IFERROR(POWER(K94/H94,1/3)-1,"n/a")</f>
        <v>n/a</v>
      </c>
      <c r="W94" s="53" t="str">
        <f aca="false">IFERROR(V94-U94,"n/a")</f>
        <v>n/a</v>
      </c>
      <c r="X94" s="43" t="n">
        <f aca="false">IFERROR(SLOPE(C94:K94,{1,2,3,4,5,6,7,8,9})/AVERAGEIF(C94:K94,"&gt;0"),"n/a")</f>
        <v>0.430757744697009</v>
      </c>
      <c r="Y94" s="43" t="n">
        <f aca="false">IFERROR(SLOPE(H94:K94,{1,2,3,4})/AVERAGEIF(H94:K94,"&gt;0"),"n/a")</f>
        <v>0.324932635916944</v>
      </c>
      <c r="Z94" s="45" t="str">
        <f aca="false">IFERROR(H94/G94,"n/a")</f>
        <v>n/a</v>
      </c>
      <c r="AA94" s="45" t="str">
        <f aca="false">IFERROR(H94/F94,"n/a")</f>
        <v>n/a</v>
      </c>
      <c r="AB94" s="56" t="n">
        <v>4.14217784117927</v>
      </c>
      <c r="AC94" s="47" t="s">
        <v>164</v>
      </c>
      <c r="AD94" s="48" t="n">
        <v>0.1</v>
      </c>
      <c r="AE94" s="66" t="s">
        <v>165</v>
      </c>
    </row>
    <row r="95" customFormat="false" ht="16.5" hidden="false" customHeight="true" outlineLevel="0" collapsed="false">
      <c r="A95" s="94" t="s">
        <v>178</v>
      </c>
      <c r="B95" s="95" t="s">
        <v>179</v>
      </c>
      <c r="C95" s="30" t="n">
        <v>6143</v>
      </c>
      <c r="D95" s="30" t="n">
        <v>17766</v>
      </c>
      <c r="E95" s="30" t="n">
        <v>8750</v>
      </c>
      <c r="F95" s="30" t="n">
        <v>17215</v>
      </c>
      <c r="G95" s="30" t="n">
        <v>16784</v>
      </c>
      <c r="H95" s="31" t="n">
        <v>33367</v>
      </c>
      <c r="I95" s="31" t="n">
        <v>5159</v>
      </c>
      <c r="J95" s="31" t="n">
        <v>7168</v>
      </c>
      <c r="K95" s="31" t="n">
        <v>14460</v>
      </c>
      <c r="L95" s="32" t="n">
        <v>11904</v>
      </c>
      <c r="M95" s="33" t="n">
        <f aca="false">IFERROR(AVERAGEIF(C95:G95,"&gt;0"),0)</f>
        <v>13331.6</v>
      </c>
      <c r="N95" s="34" t="n">
        <f aca="false">IFERROR(AVERAGEIF(H95:K95,"&gt;0"),0)</f>
        <v>15038.5</v>
      </c>
      <c r="O95" s="87" t="n">
        <f aca="false">N95-M95</f>
        <v>1706.9</v>
      </c>
      <c r="P95" s="91" t="n">
        <f aca="false">IFERROR(N95/M95,"n/a")</f>
        <v>1.12803414443878</v>
      </c>
      <c r="Q95" s="69" t="n">
        <f aca="false">IFERROR(N95/$C$3,0)</f>
        <v>4.93446437032379E-005</v>
      </c>
      <c r="R95" s="69" t="n">
        <f aca="false">IFERROR(O95/$D$4,0)</f>
        <v>1.70843371561639E-005</v>
      </c>
      <c r="S95" s="78" t="n">
        <f aca="false">IFERROR((Q95+R95)/2,0)</f>
        <v>3.32144904297009E-005</v>
      </c>
      <c r="T95" s="64" t="n">
        <v>0.999791047493709</v>
      </c>
      <c r="U95" s="40" t="n">
        <f aca="false">IFERROR(POWER(K95/C95,1/8)-1,"n/a")</f>
        <v>0.112944409292376</v>
      </c>
      <c r="V95" s="58" t="n">
        <f aca="false">IFERROR(POWER(K95/H95,1/3)-1,"n/a")</f>
        <v>-0.243253576301645</v>
      </c>
      <c r="W95" s="53" t="n">
        <f aca="false">IFERROR(V95-U95,"n/a")</f>
        <v>-0.356197985594022</v>
      </c>
      <c r="X95" s="43" t="n">
        <f aca="false">IFERROR(SLOPE(C95:K95,{1,2,3,4,5,6,7,8,9})/AVERAGEIF(C95:K95,"&gt;0"),"n/a")</f>
        <v>0.0123537204680945</v>
      </c>
      <c r="Y95" s="59" t="n">
        <f aca="false">IFERROR(SLOPE(H95:K95,{1,2,3,4})/AVERAGEIF(H95:K95,"&gt;0"),"n/a")</f>
        <v>-0.363812880273963</v>
      </c>
      <c r="Z95" s="67" t="n">
        <f aca="false">IFERROR(H95/G95,"n/a")</f>
        <v>1.98802430886559</v>
      </c>
      <c r="AA95" s="67" t="n">
        <f aca="false">IFERROR(H95/F95,"n/a")</f>
        <v>1.93825152483299</v>
      </c>
      <c r="AB95" s="46" t="n">
        <v>0.62098391905221</v>
      </c>
      <c r="AC95" s="47" t="s">
        <v>125</v>
      </c>
      <c r="AD95" s="48" t="n">
        <v>0.06</v>
      </c>
      <c r="AE95" s="49" t="s">
        <v>126</v>
      </c>
    </row>
    <row r="96" customFormat="false" ht="16.5" hidden="false" customHeight="true" outlineLevel="0" collapsed="false">
      <c r="A96" s="94" t="s">
        <v>152</v>
      </c>
      <c r="B96" s="95" t="s">
        <v>153</v>
      </c>
      <c r="C96" s="30" t="n">
        <v>40</v>
      </c>
      <c r="D96" s="30" t="n">
        <v>10460</v>
      </c>
      <c r="E96" s="30" t="n">
        <v>63</v>
      </c>
      <c r="F96" s="30" t="n">
        <v>6114</v>
      </c>
      <c r="G96" s="30" t="n">
        <v>217</v>
      </c>
      <c r="H96" s="31" t="n">
        <v>16221</v>
      </c>
      <c r="I96" s="31" t="n">
        <v>2387</v>
      </c>
      <c r="J96" s="31" t="n">
        <v>6916</v>
      </c>
      <c r="K96" s="31" t="n">
        <v>4337</v>
      </c>
      <c r="L96" s="32" t="n">
        <v>5839</v>
      </c>
      <c r="M96" s="33" t="n">
        <f aca="false">IFERROR(AVERAGEIF(C96:G96,"&gt;0"),0)</f>
        <v>3378.8</v>
      </c>
      <c r="N96" s="34" t="n">
        <f aca="false">IFERROR(AVERAGEIF(H96:K96,"&gt;0"),0)</f>
        <v>7465.25</v>
      </c>
      <c r="O96" s="87" t="n">
        <f aca="false">N96-M96</f>
        <v>4086.45</v>
      </c>
      <c r="P96" s="51" t="n">
        <f aca="false">IFERROR(N96/M96,"n/a")</f>
        <v>2.20943826210489</v>
      </c>
      <c r="Q96" s="69" t="n">
        <f aca="false">IFERROR(N96/$C$3,0)</f>
        <v>2.44951359115335E-005</v>
      </c>
      <c r="R96" s="69" t="n">
        <f aca="false">IFERROR(O96/$D$4,0)</f>
        <v>4.09012183325361E-005</v>
      </c>
      <c r="S96" s="78" t="n">
        <f aca="false">IFERROR((Q96+R96)/2,0)</f>
        <v>3.26981771220348E-005</v>
      </c>
      <c r="T96" s="64" t="n">
        <v>0.999824029996144</v>
      </c>
      <c r="U96" s="41" t="n">
        <f aca="false">IFERROR(POWER(K96/C96,1/8)-1,"n/a")</f>
        <v>0.796350912215067</v>
      </c>
      <c r="V96" s="58" t="n">
        <f aca="false">IFERROR(POWER(K96/H96,1/3)-1,"n/a")</f>
        <v>-0.355775457221694</v>
      </c>
      <c r="W96" s="53" t="n">
        <f aca="false">IFERROR(V96-U96,"n/a")</f>
        <v>-1.15212636943676</v>
      </c>
      <c r="X96" s="43" t="n">
        <f aca="false">IFERROR(SLOPE(C96:K96,{1,2,3,4,5,6,7,8,9})/AVERAGEIF(C96:K96,"&gt;0"),"n/a")</f>
        <v>0.0683702277831248</v>
      </c>
      <c r="Y96" s="59" t="n">
        <f aca="false">IFERROR(SLOPE(H96:K96,{1,2,3,4})/AVERAGEIF(H96:K96,"&gt;0"),"n/a")</f>
        <v>-0.416904993134858</v>
      </c>
      <c r="Z96" s="54" t="n">
        <f aca="false">IFERROR(H96/G96,"n/a")</f>
        <v>74.7511520737327</v>
      </c>
      <c r="AA96" s="67" t="n">
        <f aca="false">IFERROR(H96/F96,"n/a")</f>
        <v>2.65309126594701</v>
      </c>
      <c r="AB96" s="45" t="n">
        <v>0.843999419532724</v>
      </c>
      <c r="AC96" s="47" t="s">
        <v>76</v>
      </c>
      <c r="AD96" s="48" t="n">
        <v>0.04</v>
      </c>
      <c r="AE96" s="49" t="s">
        <v>77</v>
      </c>
    </row>
    <row r="97" customFormat="false" ht="16.5" hidden="false" customHeight="true" outlineLevel="0" collapsed="false">
      <c r="A97" s="94" t="s">
        <v>261</v>
      </c>
      <c r="B97" s="95" t="s">
        <v>262</v>
      </c>
      <c r="C97" s="30" t="n">
        <v>2179</v>
      </c>
      <c r="D97" s="30" t="n">
        <v>1457</v>
      </c>
      <c r="E97" s="30" t="n">
        <v>872</v>
      </c>
      <c r="F97" s="30" t="n">
        <v>1424</v>
      </c>
      <c r="G97" s="30" t="n">
        <v>1253</v>
      </c>
      <c r="H97" s="31" t="n">
        <v>848</v>
      </c>
      <c r="I97" s="31" t="n">
        <v>705</v>
      </c>
      <c r="J97" s="31" t="n">
        <v>5645</v>
      </c>
      <c r="K97" s="31" t="n">
        <v>15810</v>
      </c>
      <c r="L97" s="32" t="n">
        <v>5577</v>
      </c>
      <c r="M97" s="33" t="n">
        <f aca="false">IFERROR(AVERAGEIF(C97:G97,"&gt;0"),0)</f>
        <v>1437</v>
      </c>
      <c r="N97" s="34" t="n">
        <f aca="false">IFERROR(AVERAGEIF(H97:K97,"&gt;0"),0)</f>
        <v>5752</v>
      </c>
      <c r="O97" s="87" t="n">
        <f aca="false">N97-M97</f>
        <v>4315</v>
      </c>
      <c r="P97" s="51" t="n">
        <f aca="false">IFERROR(N97/M97,"n/a")</f>
        <v>4.00278357689631</v>
      </c>
      <c r="Q97" s="69" t="n">
        <f aca="false">IFERROR(N97/$C$3,0)</f>
        <v>1.88735838402118E-005</v>
      </c>
      <c r="R97" s="69" t="n">
        <f aca="false">IFERROR(O97/$D$4,0)</f>
        <v>4.31887719426136E-005</v>
      </c>
      <c r="S97" s="78" t="n">
        <f aca="false">IFERROR((Q97+R97)/2,0)</f>
        <v>3.10311778914127E-005</v>
      </c>
      <c r="T97" s="64" t="n">
        <v>0.999855280247636</v>
      </c>
      <c r="U97" s="41" t="n">
        <f aca="false">IFERROR(POWER(K97/C97,1/8)-1,"n/a")</f>
        <v>0.281103831170011</v>
      </c>
      <c r="V97" s="41" t="n">
        <f aca="false">IFERROR(POWER(K97/H97,1/3)-1,"n/a")</f>
        <v>1.65162439505877</v>
      </c>
      <c r="W97" s="42" t="n">
        <f aca="false">IFERROR(V97-U97,"n/a")</f>
        <v>1.37052056388876</v>
      </c>
      <c r="X97" s="43" t="n">
        <f aca="false">IFERROR(SLOPE(C97:K97,{1,2,3,4,5,6,7,8,9})/AVERAGEIF(C97:K97,"&gt;0"),"n/a")</f>
        <v>0.328774881595072</v>
      </c>
      <c r="Y97" s="43" t="n">
        <f aca="false">IFERROR(SLOPE(H97:K97,{1,2,3,4})/AVERAGEIF(H97:K97,"&gt;0"),"n/a")</f>
        <v>0.866237830319889</v>
      </c>
      <c r="Z97" s="45" t="n">
        <f aca="false">IFERROR(H97/G97,"n/a")</f>
        <v>0.676775738228252</v>
      </c>
      <c r="AA97" s="45" t="n">
        <f aca="false">IFERROR(H97/F97,"n/a")</f>
        <v>0.595505617977528</v>
      </c>
      <c r="AB97" s="56" t="n">
        <v>1.40936485859991</v>
      </c>
      <c r="AC97" s="47" t="s">
        <v>80</v>
      </c>
      <c r="AD97" s="48" t="n">
        <v>0.025</v>
      </c>
      <c r="AE97" s="49" t="s">
        <v>81</v>
      </c>
    </row>
    <row r="98" customFormat="false" ht="16.5" hidden="false" customHeight="true" outlineLevel="0" collapsed="false">
      <c r="A98" s="94" t="s">
        <v>277</v>
      </c>
      <c r="B98" s="95" t="s">
        <v>278</v>
      </c>
      <c r="C98" s="30" t="n">
        <v>719</v>
      </c>
      <c r="D98" s="30" t="n">
        <v>76</v>
      </c>
      <c r="E98" s="30" t="n">
        <v>430</v>
      </c>
      <c r="F98" s="30" t="n">
        <v>396</v>
      </c>
      <c r="G98" s="50" t="s">
        <v>84</v>
      </c>
      <c r="H98" s="50" t="s">
        <v>84</v>
      </c>
      <c r="I98" s="31" t="n">
        <v>7512</v>
      </c>
      <c r="J98" s="31" t="n">
        <v>3020</v>
      </c>
      <c r="K98" s="31" t="n">
        <v>128</v>
      </c>
      <c r="L98" s="32" t="n">
        <v>35446</v>
      </c>
      <c r="M98" s="33" t="n">
        <f aca="false">IFERROR(AVERAGEIF(C98:G98,"&gt;0"),0)</f>
        <v>405.25</v>
      </c>
      <c r="N98" s="34" t="n">
        <f aca="false">IFERROR(AVERAGEIF(H98:K98,"&gt;0"),0)</f>
        <v>3553.33333333333</v>
      </c>
      <c r="O98" s="87" t="n">
        <f aca="false">N98-M98</f>
        <v>3148.08333333333</v>
      </c>
      <c r="P98" s="51" t="n">
        <f aca="false">IFERROR(N98/M98,"n/a")</f>
        <v>8.7682500514086</v>
      </c>
      <c r="Q98" s="69" t="n">
        <f aca="false">IFERROR(N98/$C$3,0)</f>
        <v>1.16592723537701E-005</v>
      </c>
      <c r="R98" s="69" t="n">
        <f aca="false">IFERROR(O98/$D$4,0)</f>
        <v>3.15091200787198E-005</v>
      </c>
      <c r="S98" s="78" t="n">
        <f aca="false">IFERROR((Q98+R98)/2,0)</f>
        <v>2.1584196216245E-005</v>
      </c>
      <c r="T98" s="64" t="n">
        <v>0.999876999777915</v>
      </c>
      <c r="U98" s="58" t="n">
        <f aca="false">IFERROR(POWER(K98/C98,1/8)-1,"n/a")</f>
        <v>-0.194046222975772</v>
      </c>
      <c r="V98" s="58" t="str">
        <f aca="false">IFERROR(POWER(K98/H98,1/3)-1,"n/a")</f>
        <v>n/a</v>
      </c>
      <c r="W98" s="53" t="str">
        <f aca="false">IFERROR(V98-U98,"n/a")</f>
        <v>n/a</v>
      </c>
      <c r="X98" s="43" t="n">
        <f aca="false">IFERROR(SLOPE(C98:K98,{1,2,3,4,5,6,7,8,9})/AVERAGEIF(C98:K98,"&gt;0"),"n/a")</f>
        <v>0.21296038635733</v>
      </c>
      <c r="Y98" s="59" t="n">
        <f aca="false">IFERROR(SLOPE(H98:K98,{1,2,3,4})/AVERAGEIF(H98:K98,"&gt;0"),"n/a")</f>
        <v>-1.0390243902439</v>
      </c>
      <c r="Z98" s="45" t="str">
        <f aca="false">IFERROR(H98/G98,"n/a")</f>
        <v>n/a</v>
      </c>
      <c r="AA98" s="45" t="str">
        <f aca="false">IFERROR(H98/F98,"n/a")</f>
        <v>n/a</v>
      </c>
      <c r="AB98" s="56" t="n">
        <v>10.6529080675422</v>
      </c>
      <c r="AC98" s="47" t="s">
        <v>164</v>
      </c>
      <c r="AD98" s="48" t="n">
        <v>0.1</v>
      </c>
      <c r="AE98" s="66" t="s">
        <v>165</v>
      </c>
    </row>
    <row r="99" customFormat="false" ht="16.5" hidden="false" customHeight="true" outlineLevel="0" collapsed="false">
      <c r="A99" s="94" t="s">
        <v>216</v>
      </c>
      <c r="B99" s="95" t="s">
        <v>217</v>
      </c>
      <c r="C99" s="30" t="n">
        <v>2545</v>
      </c>
      <c r="D99" s="30" t="n">
        <v>4351</v>
      </c>
      <c r="E99" s="30" t="n">
        <v>1100</v>
      </c>
      <c r="F99" s="50" t="s">
        <v>84</v>
      </c>
      <c r="G99" s="50" t="s">
        <v>84</v>
      </c>
      <c r="H99" s="31" t="n">
        <v>5153</v>
      </c>
      <c r="I99" s="50" t="s">
        <v>84</v>
      </c>
      <c r="J99" s="50" t="s">
        <v>84</v>
      </c>
      <c r="K99" s="50" t="s">
        <v>84</v>
      </c>
      <c r="L99" s="50" t="s">
        <v>84</v>
      </c>
      <c r="M99" s="33" t="n">
        <f aca="false">IFERROR(AVERAGEIF(C99:G99,"&gt;0"),0)</f>
        <v>2665.33333333333</v>
      </c>
      <c r="N99" s="34" t="n">
        <f aca="false">IFERROR(AVERAGEIF(H99:K99,"&gt;0"),0)</f>
        <v>5153</v>
      </c>
      <c r="O99" s="87" t="n">
        <f aca="false">N99-M99</f>
        <v>2487.66666666667</v>
      </c>
      <c r="P99" s="36" t="n">
        <f aca="false">IFERROR(N99/M99,"n/a")</f>
        <v>1.93334167083542</v>
      </c>
      <c r="Q99" s="69" t="n">
        <f aca="false">IFERROR(N99/$C$3,0)</f>
        <v>1.69081323937085E-005</v>
      </c>
      <c r="R99" s="69" t="n">
        <f aca="false">IFERROR(O99/$D$4,0)</f>
        <v>2.48990193130726E-005</v>
      </c>
      <c r="S99" s="78" t="n">
        <f aca="false">IFERROR((Q99+R99)/2,0)</f>
        <v>2.09035758533906E-005</v>
      </c>
      <c r="T99" s="64" t="n">
        <v>0.99989809961355</v>
      </c>
      <c r="U99" s="40" t="str">
        <f aca="false">IFERROR(POWER(K99/C99,1/8)-1,"n/a")</f>
        <v>n/a</v>
      </c>
      <c r="V99" s="70" t="str">
        <f aca="false">IFERROR(POWER(K99/H99,1/3)-1,"n/a")</f>
        <v>n/a</v>
      </c>
      <c r="W99" s="90" t="str">
        <f aca="false">IFERROR(V99-U99,"n/a")</f>
        <v>n/a</v>
      </c>
      <c r="X99" s="43" t="n">
        <f aca="false">IFERROR(SLOPE(C99:K99,{1,2,3,4,5,6,7,8,9})/AVERAGEIF(C99:K99,"&gt;0"),"n/a")</f>
        <v>0.130764968547309</v>
      </c>
      <c r="Y99" s="88" t="str">
        <f aca="false">IFERROR(SLOPE(H99:K99,{1,2,3,4})/AVERAGEIF(H99:K99,"&gt;0"),"n/a")</f>
        <v>n/a</v>
      </c>
      <c r="Z99" s="45" t="str">
        <f aca="false">IFERROR(H99/G99,"n/a")</f>
        <v>n/a</v>
      </c>
      <c r="AA99" s="45" t="str">
        <f aca="false">IFERROR(H99/F99,"n/a")</f>
        <v>n/a</v>
      </c>
      <c r="AB99" s="46" t="n">
        <v>0.478459150009703</v>
      </c>
      <c r="AC99" s="85" t="s">
        <v>139</v>
      </c>
      <c r="AD99" s="86" t="s">
        <v>140</v>
      </c>
      <c r="AE99" s="86" t="s">
        <v>84</v>
      </c>
    </row>
    <row r="100" customFormat="false" ht="16.5" hidden="false" customHeight="true" outlineLevel="0" collapsed="false">
      <c r="A100" s="94" t="s">
        <v>89</v>
      </c>
      <c r="B100" s="95" t="s">
        <v>90</v>
      </c>
      <c r="C100" s="30" t="n">
        <v>1110</v>
      </c>
      <c r="D100" s="30" t="n">
        <v>1905</v>
      </c>
      <c r="E100" s="30" t="n">
        <v>617</v>
      </c>
      <c r="F100" s="50" t="s">
        <v>84</v>
      </c>
      <c r="G100" s="30" t="n">
        <v>1718</v>
      </c>
      <c r="H100" s="31" t="n">
        <v>4353</v>
      </c>
      <c r="I100" s="31" t="n">
        <v>6856</v>
      </c>
      <c r="J100" s="31" t="n">
        <v>7</v>
      </c>
      <c r="K100" s="31" t="n">
        <v>2967</v>
      </c>
      <c r="L100" s="50" t="s">
        <v>84</v>
      </c>
      <c r="M100" s="33" t="n">
        <f aca="false">IFERROR(AVERAGEIF(C100:G100,"&gt;0"),0)</f>
        <v>1337.5</v>
      </c>
      <c r="N100" s="34" t="n">
        <f aca="false">IFERROR(AVERAGEIF(H100:K100,"&gt;0"),0)</f>
        <v>3545.75</v>
      </c>
      <c r="O100" s="87" t="n">
        <f aca="false">N100-M100</f>
        <v>2208.25</v>
      </c>
      <c r="P100" s="51" t="n">
        <f aca="false">IFERROR(N100/M100,"n/a")</f>
        <v>2.65102803738318</v>
      </c>
      <c r="Q100" s="69" t="n">
        <f aca="false">IFERROR(N100/$C$3,0)</f>
        <v>1.16343897603322E-005</v>
      </c>
      <c r="R100" s="69" t="n">
        <f aca="false">IFERROR(O100/$D$4,0)</f>
        <v>2.21023419796701E-005</v>
      </c>
      <c r="S100" s="78" t="n">
        <f aca="false">IFERROR((Q100+R100)/2,0)</f>
        <v>1.68683658700012E-005</v>
      </c>
      <c r="T100" s="64" t="n">
        <v>0.99991510302466</v>
      </c>
      <c r="U100" s="40" t="n">
        <f aca="false">IFERROR(POWER(K100/C100,1/8)-1,"n/a")</f>
        <v>0.13077011211927</v>
      </c>
      <c r="V100" s="58" t="n">
        <f aca="false">IFERROR(POWER(K100/H100,1/3)-1,"n/a")</f>
        <v>-0.119945381613089</v>
      </c>
      <c r="W100" s="53" t="n">
        <f aca="false">IFERROR(V100-U100,"n/a")</f>
        <v>-0.250715493732359</v>
      </c>
      <c r="X100" s="43" t="n">
        <f aca="false">IFERROR(SLOPE(C100:K100,{1,2,3,4,5,6,7,8,9})/AVERAGEIF(C100:K100,"&gt;0"),"n/a")</f>
        <v>0.112162084459823</v>
      </c>
      <c r="Y100" s="59" t="n">
        <f aca="false">IFERROR(SLOPE(H100:K100,{1,2,3,4})/AVERAGEIF(H100:K100,"&gt;0"),"n/a")</f>
        <v>-0.31042797715575</v>
      </c>
      <c r="Z100" s="80" t="n">
        <f aca="false">IFERROR(H100/G100,"n/a")</f>
        <v>2.5337601862631</v>
      </c>
      <c r="AA100" s="45" t="str">
        <f aca="false">IFERROR(H100/F100,"n/a")</f>
        <v>n/a</v>
      </c>
      <c r="AB100" s="56" t="n">
        <v>1.32665867587957</v>
      </c>
      <c r="AC100" s="47" t="s">
        <v>164</v>
      </c>
      <c r="AD100" s="48" t="n">
        <v>0.1</v>
      </c>
      <c r="AE100" s="66" t="s">
        <v>165</v>
      </c>
    </row>
    <row r="101" customFormat="false" ht="16.5" hidden="false" customHeight="true" outlineLevel="0" collapsed="false">
      <c r="A101" s="94" t="s">
        <v>208</v>
      </c>
      <c r="B101" s="95" t="s">
        <v>209</v>
      </c>
      <c r="C101" s="30" t="n">
        <v>8368</v>
      </c>
      <c r="D101" s="30" t="n">
        <v>1484</v>
      </c>
      <c r="E101" s="30" t="n">
        <v>700</v>
      </c>
      <c r="F101" s="30" t="n">
        <v>1587</v>
      </c>
      <c r="G101" s="30" t="n">
        <v>849</v>
      </c>
      <c r="H101" s="31" t="n">
        <v>2666</v>
      </c>
      <c r="I101" s="31" t="n">
        <v>2944</v>
      </c>
      <c r="J101" s="31" t="n">
        <v>10127</v>
      </c>
      <c r="K101" s="31" t="n">
        <v>1771</v>
      </c>
      <c r="L101" s="32" t="n">
        <v>3388</v>
      </c>
      <c r="M101" s="33" t="n">
        <f aca="false">IFERROR(AVERAGEIF(C101:G101,"&gt;0"),0)</f>
        <v>2597.6</v>
      </c>
      <c r="N101" s="34" t="n">
        <f aca="false">IFERROR(AVERAGEIF(H101:K101,"&gt;0"),0)</f>
        <v>4377</v>
      </c>
      <c r="O101" s="87" t="n">
        <f aca="false">N101-M101</f>
        <v>1779.4</v>
      </c>
      <c r="P101" s="36" t="n">
        <f aca="false">IFERROR(N101/M101,"n/a")</f>
        <v>1.68501693871266</v>
      </c>
      <c r="Q101" s="69" t="n">
        <f aca="false">IFERROR(N101/$C$3,0)</f>
        <v>1.43619048102585E-005</v>
      </c>
      <c r="R101" s="69" t="n">
        <f aca="false">IFERROR(O101/$D$4,0)</f>
        <v>1.78099885966829E-005</v>
      </c>
      <c r="S101" s="78" t="n">
        <f aca="false">IFERROR((Q101+R101)/2,0)</f>
        <v>1.60859467034707E-005</v>
      </c>
      <c r="T101" s="64" t="n">
        <v>0.999931355676014</v>
      </c>
      <c r="U101" s="58" t="n">
        <f aca="false">IFERROR(POWER(K101/C101,1/8)-1,"n/a")</f>
        <v>-0.176431720126322</v>
      </c>
      <c r="V101" s="58" t="n">
        <f aca="false">IFERROR(POWER(K101/H101,1/3)-1,"n/a")</f>
        <v>-0.127458406421501</v>
      </c>
      <c r="W101" s="71" t="n">
        <f aca="false">IFERROR(V101-U101,"n/a")</f>
        <v>0.0489733137048212</v>
      </c>
      <c r="X101" s="43" t="n">
        <f aca="false">IFERROR(SLOPE(C101:K101,{1,2,3,4,5,6,7,8,9})/AVERAGEIF(C101:K101,"&gt;0"),"n/a")</f>
        <v>0.0251246065057713</v>
      </c>
      <c r="Y101" s="43" t="n">
        <f aca="false">IFERROR(SLOPE(H101:K101,{1,2,3,4})/AVERAGEIF(H101:K101,"&gt;0"),"n/a")</f>
        <v>0.102764450536897</v>
      </c>
      <c r="Z101" s="54" t="n">
        <f aca="false">IFERROR(H101/G101,"n/a")</f>
        <v>3.14016489988221</v>
      </c>
      <c r="AA101" s="67" t="n">
        <f aca="false">IFERROR(H101/F101,"n/a")</f>
        <v>1.67989918084436</v>
      </c>
      <c r="AB101" s="56" t="n">
        <v>2.72226030005331</v>
      </c>
      <c r="AC101" s="47" t="s">
        <v>111</v>
      </c>
      <c r="AD101" s="48" t="n">
        <v>0.075</v>
      </c>
      <c r="AE101" s="49" t="s">
        <v>112</v>
      </c>
    </row>
    <row r="102" customFormat="false" ht="16.5" hidden="false" customHeight="true" outlineLevel="0" collapsed="false">
      <c r="A102" s="94" t="s">
        <v>283</v>
      </c>
      <c r="B102" s="95" t="s">
        <v>284</v>
      </c>
      <c r="C102" s="30" t="n">
        <v>5</v>
      </c>
      <c r="D102" s="50" t="s">
        <v>84</v>
      </c>
      <c r="E102" s="30" t="n">
        <v>3703</v>
      </c>
      <c r="F102" s="30" t="n">
        <v>4721</v>
      </c>
      <c r="G102" s="30" t="n">
        <v>3631</v>
      </c>
      <c r="H102" s="31" t="n">
        <v>4165</v>
      </c>
      <c r="I102" s="31" t="n">
        <v>4776</v>
      </c>
      <c r="J102" s="31" t="n">
        <v>5199</v>
      </c>
      <c r="K102" s="31" t="n">
        <v>3265</v>
      </c>
      <c r="L102" s="32" t="n">
        <v>140365</v>
      </c>
      <c r="M102" s="33" t="n">
        <f aca="false">IFERROR(AVERAGEIF(C102:G102,"&gt;0"),0)</f>
        <v>3015</v>
      </c>
      <c r="N102" s="34" t="n">
        <f aca="false">IFERROR(AVERAGEIF(H102:K102,"&gt;0"),0)</f>
        <v>4351.25</v>
      </c>
      <c r="O102" s="87" t="n">
        <f aca="false">N102-M102</f>
        <v>1336.25</v>
      </c>
      <c r="P102" s="36" t="n">
        <f aca="false">IFERROR(N102/M102,"n/a")</f>
        <v>1.44320066334992</v>
      </c>
      <c r="Q102" s="69" t="n">
        <f aca="false">IFERROR(N102/$C$3,0)</f>
        <v>1.42774133666067E-005</v>
      </c>
      <c r="R102" s="69" t="n">
        <f aca="false">IFERROR(O102/$D$4,0)</f>
        <v>1.33745067226692E-005</v>
      </c>
      <c r="S102" s="78" t="n">
        <f aca="false">IFERROR((Q102+R102)/2,0)</f>
        <v>1.38259600446379E-005</v>
      </c>
      <c r="T102" s="64" t="n">
        <v>0.999945347359981</v>
      </c>
      <c r="U102" s="41" t="n">
        <f aca="false">IFERROR(POWER(K102/C102,1/8)-1,"n/a")</f>
        <v>1.24835118554847</v>
      </c>
      <c r="V102" s="58" t="n">
        <f aca="false">IFERROR(POWER(K102/H102,1/3)-1,"n/a")</f>
        <v>-0.0779466289813076</v>
      </c>
      <c r="W102" s="53" t="n">
        <f aca="false">IFERROR(V102-U102,"n/a")</f>
        <v>-1.32629781452978</v>
      </c>
      <c r="X102" s="43" t="n">
        <f aca="false">IFERROR(SLOPE(C102:K102,{1,2,3,4,5,6,7,8,9})/AVERAGEIF(C102:K102,"&gt;0"),"n/a")</f>
        <v>0.104398787567936</v>
      </c>
      <c r="Y102" s="59" t="n">
        <f aca="false">IFERROR(SLOPE(H102:K102,{1,2,3,4})/AVERAGEIF(H102:K102,"&gt;0"),"n/a")</f>
        <v>-0.0523297902901465</v>
      </c>
      <c r="Z102" s="44" t="n">
        <f aca="false">IFERROR(H102/G102,"n/a")</f>
        <v>1.14706692371248</v>
      </c>
      <c r="AA102" s="45" t="n">
        <f aca="false">IFERROR(H102/F102,"n/a")</f>
        <v>0.882228341453082</v>
      </c>
      <c r="AB102" s="56" t="n">
        <v>11.7665038781959</v>
      </c>
      <c r="AC102" s="47" t="s">
        <v>111</v>
      </c>
      <c r="AD102" s="48" t="n">
        <v>0.075</v>
      </c>
      <c r="AE102" s="49" t="s">
        <v>112</v>
      </c>
    </row>
    <row r="103" customFormat="false" ht="16.5" hidden="false" customHeight="true" outlineLevel="0" collapsed="false">
      <c r="A103" s="94" t="s">
        <v>271</v>
      </c>
      <c r="B103" s="95" t="s">
        <v>272</v>
      </c>
      <c r="C103" s="50" t="s">
        <v>84</v>
      </c>
      <c r="D103" s="50" t="s">
        <v>84</v>
      </c>
      <c r="E103" s="30" t="n">
        <v>234</v>
      </c>
      <c r="F103" s="50" t="s">
        <v>84</v>
      </c>
      <c r="G103" s="50" t="s">
        <v>84</v>
      </c>
      <c r="H103" s="50" t="s">
        <v>84</v>
      </c>
      <c r="I103" s="31" t="n">
        <v>21</v>
      </c>
      <c r="J103" s="31" t="n">
        <v>4142</v>
      </c>
      <c r="K103" s="31" t="n">
        <v>2079</v>
      </c>
      <c r="L103" s="32" t="n">
        <v>6524</v>
      </c>
      <c r="M103" s="33" t="n">
        <f aca="false">IFERROR(AVERAGEIF(C103:G103,"&gt;0"),0)</f>
        <v>234</v>
      </c>
      <c r="N103" s="34" t="n">
        <f aca="false">IFERROR(AVERAGEIF(H103:K103,"&gt;0"),0)</f>
        <v>2080.66666666667</v>
      </c>
      <c r="O103" s="87" t="n">
        <f aca="false">N103-M103</f>
        <v>1846.66666666667</v>
      </c>
      <c r="P103" s="51" t="n">
        <f aca="false">IFERROR(N103/M103,"n/a")</f>
        <v>8.89173789173789</v>
      </c>
      <c r="Q103" s="69" t="n">
        <f aca="false">IFERROR(N103/$C$3,0)</f>
        <v>6.82712739514382E-006</v>
      </c>
      <c r="R103" s="69" t="n">
        <f aca="false">IFERROR(O103/$D$4,0)</f>
        <v>1.8483259680346E-005</v>
      </c>
      <c r="S103" s="78" t="n">
        <f aca="false">IFERROR((Q103+R103)/2,0)</f>
        <v>1.26551935377449E-005</v>
      </c>
      <c r="T103" s="64" t="n">
        <v>0.999958081798849</v>
      </c>
      <c r="U103" s="41" t="str">
        <f aca="false">IFERROR(POWER(K103/C103,1/8)-1,"n/a")</f>
        <v>n/a</v>
      </c>
      <c r="V103" s="41" t="str">
        <f aca="false">IFERROR(POWER(K103/H103,1/3)-1,"n/a")</f>
        <v>n/a</v>
      </c>
      <c r="W103" s="42" t="str">
        <f aca="false">IFERROR(V103-U103,"n/a")</f>
        <v>n/a</v>
      </c>
      <c r="X103" s="43" t="n">
        <f aca="false">IFERROR(SLOPE(C103:K103,{1,2,3,4,5,6,7,8,9})/AVERAGEIF(C103:K103,"&gt;0"),"n/a")</f>
        <v>0.267396950370971</v>
      </c>
      <c r="Y103" s="43" t="n">
        <f aca="false">IFERROR(SLOPE(H103:K103,{1,2,3,4})/AVERAGEIF(H103:K103,"&gt;0"),"n/a")</f>
        <v>0.494553027875681</v>
      </c>
      <c r="Z103" s="45" t="str">
        <f aca="false">IFERROR(H103/G103,"n/a")</f>
        <v>n/a</v>
      </c>
      <c r="AA103" s="45" t="str">
        <f aca="false">IFERROR(H103/F103,"n/a")</f>
        <v>n/a</v>
      </c>
      <c r="AB103" s="56" t="n">
        <v>18.6031720602371</v>
      </c>
      <c r="AC103" s="47" t="s">
        <v>164</v>
      </c>
      <c r="AD103" s="48" t="n">
        <v>0.1</v>
      </c>
      <c r="AE103" s="66" t="s">
        <v>165</v>
      </c>
    </row>
    <row r="104" customFormat="false" ht="16.5" hidden="false" customHeight="true" outlineLevel="0" collapsed="false">
      <c r="A104" s="94" t="s">
        <v>247</v>
      </c>
      <c r="B104" s="95" t="s">
        <v>248</v>
      </c>
      <c r="C104" s="30" t="n">
        <v>203</v>
      </c>
      <c r="D104" s="30" t="n">
        <v>551</v>
      </c>
      <c r="E104" s="30" t="n">
        <v>65</v>
      </c>
      <c r="F104" s="30" t="n">
        <v>109</v>
      </c>
      <c r="G104" s="30" t="n">
        <v>383</v>
      </c>
      <c r="H104" s="31" t="n">
        <v>3196</v>
      </c>
      <c r="I104" s="31" t="n">
        <v>121</v>
      </c>
      <c r="J104" s="50" t="s">
        <v>84</v>
      </c>
      <c r="K104" s="50" t="s">
        <v>84</v>
      </c>
      <c r="L104" s="32" t="n">
        <v>29</v>
      </c>
      <c r="M104" s="33" t="n">
        <f aca="false">IFERROR(AVERAGEIF(C104:G104,"&gt;0"),0)</f>
        <v>262.2</v>
      </c>
      <c r="N104" s="34" t="n">
        <f aca="false">IFERROR(AVERAGEIF(H104:K104,"&gt;0"),0)</f>
        <v>1658.5</v>
      </c>
      <c r="O104" s="87" t="n">
        <f aca="false">N104-M104</f>
        <v>1396.3</v>
      </c>
      <c r="P104" s="51" t="n">
        <f aca="false">IFERROR(N104/M104,"n/a")</f>
        <v>6.32532418001526</v>
      </c>
      <c r="Q104" s="69" t="n">
        <f aca="false">IFERROR(N104/$C$3,0)</f>
        <v>5.44190521540181E-006</v>
      </c>
      <c r="R104" s="69" t="n">
        <f aca="false">IFERROR(O104/$D$4,0)</f>
        <v>1.39755462951266E-005</v>
      </c>
      <c r="S104" s="78" t="n">
        <f aca="false">IFERROR((Q104+R104)/2,0)</f>
        <v>9.70872575526421E-006</v>
      </c>
      <c r="T104" s="64" t="n">
        <v>0.99996785369108</v>
      </c>
      <c r="U104" s="58" t="str">
        <f aca="false">IFERROR(POWER(K104/C104,1/8)-1,"n/a")</f>
        <v>n/a</v>
      </c>
      <c r="V104" s="58" t="str">
        <f aca="false">IFERROR(POWER(K104/H104,1/3)-1,"n/a")</f>
        <v>n/a</v>
      </c>
      <c r="W104" s="53" t="str">
        <f aca="false">IFERROR(V104-U104,"n/a")</f>
        <v>n/a</v>
      </c>
      <c r="X104" s="43" t="n">
        <f aca="false">IFERROR(SLOPE(C104:K104,{1,2,3,4,5,6,7,8,9})/AVERAGEIF(C104:K104,"&gt;0"),"n/a")</f>
        <v>0.289649956784788</v>
      </c>
      <c r="Y104" s="88" t="n">
        <f aca="false">IFERROR(SLOPE(H104:K104,{1,2,3,4})/AVERAGEIF(H104:K104,"&gt;0"),"n/a")</f>
        <v>-1.85408501658125</v>
      </c>
      <c r="Z104" s="54" t="n">
        <f aca="false">IFERROR(H104/G104,"n/a")</f>
        <v>8.34464751958225</v>
      </c>
      <c r="AA104" s="55" t="n">
        <f aca="false">IFERROR(H104/F104,"n/a")</f>
        <v>29.3211009174312</v>
      </c>
      <c r="AB104" s="46" t="n">
        <v>0.0916490804944226</v>
      </c>
      <c r="AC104" s="47" t="s">
        <v>333</v>
      </c>
      <c r="AD104" s="48" t="n">
        <v>0.02</v>
      </c>
      <c r="AE104" s="49" t="s">
        <v>334</v>
      </c>
    </row>
    <row r="105" customFormat="false" ht="16.5" hidden="false" customHeight="true" outlineLevel="0" collapsed="false">
      <c r="A105" s="94" t="s">
        <v>170</v>
      </c>
      <c r="B105" s="95" t="s">
        <v>171</v>
      </c>
      <c r="C105" s="30" t="n">
        <v>223</v>
      </c>
      <c r="D105" s="30" t="n">
        <v>48</v>
      </c>
      <c r="E105" s="30" t="n">
        <v>604</v>
      </c>
      <c r="F105" s="30" t="n">
        <v>1015</v>
      </c>
      <c r="G105" s="30" t="n">
        <v>366</v>
      </c>
      <c r="H105" s="31" t="n">
        <v>1649</v>
      </c>
      <c r="I105" s="31" t="n">
        <v>1877</v>
      </c>
      <c r="J105" s="31" t="n">
        <v>1079</v>
      </c>
      <c r="K105" s="31" t="n">
        <v>1887</v>
      </c>
      <c r="L105" s="32" t="n">
        <v>625</v>
      </c>
      <c r="M105" s="33" t="n">
        <f aca="false">IFERROR(AVERAGEIF(C105:G105,"&gt;0"),0)</f>
        <v>451.2</v>
      </c>
      <c r="N105" s="34" t="n">
        <f aca="false">IFERROR(AVERAGEIF(H105:K105,"&gt;0"),0)</f>
        <v>1623</v>
      </c>
      <c r="O105" s="87" t="n">
        <f aca="false">N105-M105</f>
        <v>1171.8</v>
      </c>
      <c r="P105" s="51" t="n">
        <f aca="false">IFERROR(N105/M105,"n/a")</f>
        <v>3.59707446808511</v>
      </c>
      <c r="Q105" s="69" t="n">
        <f aca="false">IFERROR(N105/$C$3,0)</f>
        <v>5.3254218659012E-006</v>
      </c>
      <c r="R105" s="69" t="n">
        <f aca="false">IFERROR(O105/$D$4,0)</f>
        <v>1.17285290758643E-005</v>
      </c>
      <c r="S105" s="78" t="n">
        <f aca="false">IFERROR((Q105+R105)/2,0)</f>
        <v>8.52697547088277E-006</v>
      </c>
      <c r="T105" s="64" t="n">
        <v>0.999976442480955</v>
      </c>
      <c r="U105" s="41" t="n">
        <f aca="false">IFERROR(POWER(K105/C105,1/8)-1,"n/a")</f>
        <v>0.305970538127233</v>
      </c>
      <c r="V105" s="70" t="n">
        <f aca="false">IFERROR(POWER(K105/H105,1/3)-1,"n/a")</f>
        <v>0.0459648291483989</v>
      </c>
      <c r="W105" s="53" t="n">
        <f aca="false">IFERROR(V105-U105,"n/a")</f>
        <v>-0.260005708978834</v>
      </c>
      <c r="X105" s="43" t="n">
        <f aca="false">IFERROR(SLOPE(C105:K105,{1,2,3,4,5,6,7,8,9})/AVERAGEIF(C105:K105,"&gt;0"),"n/a")</f>
        <v>0.221690672153635</v>
      </c>
      <c r="Y105" s="59" t="n">
        <f aca="false">IFERROR(SLOPE(H105:K105,{1,2,3,4})/AVERAGEIF(H105:K105,"&gt;0"),"n/a")</f>
        <v>-0.00517560073937153</v>
      </c>
      <c r="Z105" s="54" t="n">
        <f aca="false">IFERROR(H105/G105,"n/a")</f>
        <v>4.50546448087432</v>
      </c>
      <c r="AA105" s="67" t="n">
        <f aca="false">IFERROR(H105/F105,"n/a")</f>
        <v>1.62463054187192</v>
      </c>
      <c r="AB105" s="46" t="n">
        <v>0.155062641199425</v>
      </c>
      <c r="AC105" s="47" t="s">
        <v>164</v>
      </c>
      <c r="AD105" s="48" t="n">
        <v>0.1</v>
      </c>
      <c r="AE105" s="66" t="s">
        <v>165</v>
      </c>
    </row>
    <row r="106" customFormat="false" ht="16.5" hidden="false" customHeight="true" outlineLevel="0" collapsed="false">
      <c r="A106" s="94" t="s">
        <v>160</v>
      </c>
      <c r="B106" s="95" t="s">
        <v>161</v>
      </c>
      <c r="C106" s="50" t="s">
        <v>84</v>
      </c>
      <c r="D106" s="30" t="n">
        <v>2289</v>
      </c>
      <c r="E106" s="50" t="s">
        <v>84</v>
      </c>
      <c r="F106" s="50" t="s">
        <v>84</v>
      </c>
      <c r="G106" s="30" t="n">
        <v>482</v>
      </c>
      <c r="H106" s="31" t="n">
        <v>1602</v>
      </c>
      <c r="I106" s="31" t="n">
        <v>1545</v>
      </c>
      <c r="J106" s="31" t="n">
        <v>3326</v>
      </c>
      <c r="K106" s="31" t="n">
        <v>2212</v>
      </c>
      <c r="L106" s="32" t="n">
        <v>3329</v>
      </c>
      <c r="M106" s="33" t="n">
        <f aca="false">IFERROR(AVERAGEIF(C106:G106,"&gt;0"),0)</f>
        <v>1385.5</v>
      </c>
      <c r="N106" s="34" t="n">
        <f aca="false">IFERROR(AVERAGEIF(H106:K106,"&gt;0"),0)</f>
        <v>2171.25</v>
      </c>
      <c r="O106" s="87" t="n">
        <f aca="false">N106-M106</f>
        <v>785.75</v>
      </c>
      <c r="P106" s="36" t="n">
        <f aca="false">IFERROR(N106/M106,"n/a")</f>
        <v>1.56712378202815</v>
      </c>
      <c r="Q106" s="69" t="n">
        <f aca="false">IFERROR(N106/$C$3,0)</f>
        <v>7.12435134093529E-006</v>
      </c>
      <c r="R106" s="69" t="n">
        <f aca="false">IFERROR(O106/$D$4,0)</f>
        <v>7.86456026741799E-006</v>
      </c>
      <c r="S106" s="78" t="n">
        <f aca="false">IFERROR((Q106+R106)/2,0)</f>
        <v>7.49445580417664E-006</v>
      </c>
      <c r="T106" s="64" t="n">
        <v>0.999984019632092</v>
      </c>
      <c r="U106" s="58" t="str">
        <f aca="false">IFERROR(POWER(K106/C106,1/8)-1,"n/a")</f>
        <v>n/a</v>
      </c>
      <c r="V106" s="40" t="n">
        <f aca="false">IFERROR(POWER(K106/H106,1/3)-1,"n/a")</f>
        <v>0.113544396823422</v>
      </c>
      <c r="W106" s="42" t="str">
        <f aca="false">IFERROR(V106-U106,"n/a")</f>
        <v>n/a</v>
      </c>
      <c r="X106" s="43" t="n">
        <f aca="false">IFERROR(SLOPE(C106:K106,{1,2,3,4,5,6,7,8,9})/AVERAGEIF(C106:K106,"&gt;0"),"n/a")</f>
        <v>0.0558111882832553</v>
      </c>
      <c r="Y106" s="43" t="n">
        <f aca="false">IFERROR(SLOPE(H106:K106,{1,2,3,4})/AVERAGEIF(H106:K106,"&gt;0"),"n/a")</f>
        <v>0.166309729418538</v>
      </c>
      <c r="Z106" s="54" t="n">
        <f aca="false">IFERROR(H106/G106,"n/a")</f>
        <v>3.32365145228216</v>
      </c>
      <c r="AA106" s="45" t="str">
        <f aca="false">IFERROR(H106/F106,"n/a")</f>
        <v>n/a</v>
      </c>
      <c r="AB106" s="56" t="n">
        <v>1.08524275570908</v>
      </c>
      <c r="AC106" s="47" t="s">
        <v>121</v>
      </c>
      <c r="AD106" s="48" t="n">
        <v>0.05</v>
      </c>
      <c r="AE106" s="49" t="s">
        <v>122</v>
      </c>
    </row>
    <row r="107" customFormat="false" ht="16.5" hidden="false" customHeight="true" outlineLevel="0" collapsed="false">
      <c r="A107" s="94" t="s">
        <v>281</v>
      </c>
      <c r="B107" s="95" t="s">
        <v>282</v>
      </c>
      <c r="C107" s="50" t="s">
        <v>84</v>
      </c>
      <c r="D107" s="50" t="s">
        <v>84</v>
      </c>
      <c r="E107" s="30" t="n">
        <v>2051</v>
      </c>
      <c r="F107" s="50" t="s">
        <v>84</v>
      </c>
      <c r="G107" s="50" t="s">
        <v>84</v>
      </c>
      <c r="H107" s="50" t="s">
        <v>84</v>
      </c>
      <c r="I107" s="50" t="s">
        <v>84</v>
      </c>
      <c r="J107" s="31" t="n">
        <v>2603</v>
      </c>
      <c r="K107" s="50" t="s">
        <v>84</v>
      </c>
      <c r="L107" s="50" t="s">
        <v>84</v>
      </c>
      <c r="M107" s="33" t="n">
        <f aca="false">IFERROR(AVERAGEIF(C107:G107,"&gt;0"),0)</f>
        <v>2051</v>
      </c>
      <c r="N107" s="34" t="n">
        <f aca="false">IFERROR(AVERAGEIF(H107:K107,"&gt;0"),0)</f>
        <v>2603</v>
      </c>
      <c r="O107" s="87" t="n">
        <f aca="false">N107-M107</f>
        <v>552</v>
      </c>
      <c r="P107" s="36" t="n">
        <f aca="false">IFERROR(N107/M107,"n/a")</f>
        <v>1.26913700633837</v>
      </c>
      <c r="Q107" s="69" t="n">
        <f aca="false">IFERROR(N107/$C$3,0)</f>
        <v>8.54101855634062E-006</v>
      </c>
      <c r="R107" s="69" t="n">
        <f aca="false">IFERROR(O107/$D$4,0)</f>
        <v>5.52495993333087E-006</v>
      </c>
      <c r="S107" s="78" t="n">
        <f aca="false">IFERROR((Q107+R107)/2,0)</f>
        <v>7.03298924483574E-006</v>
      </c>
      <c r="T107" s="64" t="n">
        <v>0.99999115176052</v>
      </c>
      <c r="U107" s="70" t="str">
        <f aca="false">IFERROR(POWER(K107/C107,1/8)-1,"n/a")</f>
        <v>n/a</v>
      </c>
      <c r="V107" s="70" t="str">
        <f aca="false">IFERROR(POWER(K107/H107,1/3)-1,"n/a")</f>
        <v>n/a</v>
      </c>
      <c r="W107" s="90" t="str">
        <f aca="false">IFERROR(V107-U107,"n/a")</f>
        <v>n/a</v>
      </c>
      <c r="X107" s="88" t="n">
        <f aca="false">IFERROR(SLOPE(C107:K107,{1,2,3,4,5,6,7,8,9})/AVERAGEIF(C107:K107,"&gt;0"),"n/a")</f>
        <v>0.0474430597335625</v>
      </c>
      <c r="Y107" s="88" t="str">
        <f aca="false">IFERROR(SLOPE(H107:K107,{1,2,3,4})/AVERAGEIF(H107:K107,"&gt;0"),"n/a")</f>
        <v>n/a</v>
      </c>
      <c r="Z107" s="45" t="str">
        <f aca="false">IFERROR(H107/G107,"n/a")</f>
        <v>n/a</v>
      </c>
      <c r="AA107" s="45" t="str">
        <f aca="false">IFERROR(H107/F107,"n/a")</f>
        <v>n/a</v>
      </c>
      <c r="AB107" s="89" t="s">
        <v>147</v>
      </c>
      <c r="AC107" s="47" t="s">
        <v>80</v>
      </c>
      <c r="AD107" s="48" t="n">
        <v>0.025</v>
      </c>
      <c r="AE107" s="49" t="s">
        <v>81</v>
      </c>
    </row>
    <row r="108" customFormat="false" ht="16.5" hidden="false" customHeight="true" outlineLevel="0" collapsed="false">
      <c r="A108" s="94" t="s">
        <v>307</v>
      </c>
      <c r="B108" s="95" t="s">
        <v>308</v>
      </c>
      <c r="C108" s="30" t="n">
        <v>52</v>
      </c>
      <c r="D108" s="30" t="n">
        <v>88</v>
      </c>
      <c r="E108" s="30" t="n">
        <v>38</v>
      </c>
      <c r="F108" s="50" t="s">
        <v>84</v>
      </c>
      <c r="G108" s="30" t="n">
        <v>42</v>
      </c>
      <c r="H108" s="31" t="n">
        <v>158</v>
      </c>
      <c r="I108" s="31" t="n">
        <v>1357</v>
      </c>
      <c r="J108" s="31" t="n">
        <v>82</v>
      </c>
      <c r="K108" s="31" t="n">
        <v>1509</v>
      </c>
      <c r="L108" s="32" t="n">
        <v>290</v>
      </c>
      <c r="M108" s="33" t="n">
        <f aca="false">IFERROR(AVERAGEIF(C108:G108,"&gt;0"),0)</f>
        <v>55</v>
      </c>
      <c r="N108" s="34" t="n">
        <f aca="false">IFERROR(AVERAGEIF(H108:K108,"&gt;0"),0)</f>
        <v>776.5</v>
      </c>
      <c r="O108" s="87" t="n">
        <f aca="false">N108-M108</f>
        <v>721.5</v>
      </c>
      <c r="P108" s="51" t="n">
        <f aca="false">IFERROR(N108/M108,"n/a")</f>
        <v>14.1181818181818</v>
      </c>
      <c r="Q108" s="69" t="n">
        <f aca="false">IFERROR(N108/$C$3,0)</f>
        <v>2.54786819400633E-006</v>
      </c>
      <c r="R108" s="69" t="n">
        <f aca="false">IFERROR(O108/$D$4,0)</f>
        <v>7.22148295633736E-006</v>
      </c>
      <c r="S108" s="78" t="n">
        <f aca="false">IFERROR((Q108+R108)/2,0)</f>
        <v>4.88467557517185E-006</v>
      </c>
      <c r="T108" s="64" t="n">
        <v>0.99999606601027</v>
      </c>
      <c r="U108" s="41" t="n">
        <f aca="false">IFERROR(POWER(K108/C108,1/8)-1,"n/a")</f>
        <v>0.523476421094351</v>
      </c>
      <c r="V108" s="41" t="n">
        <f aca="false">IFERROR(POWER(K108/H108,1/3)-1,"n/a")</f>
        <v>1.12166779519356</v>
      </c>
      <c r="W108" s="42" t="n">
        <f aca="false">IFERROR(V108-U108,"n/a")</f>
        <v>0.59819137409921</v>
      </c>
      <c r="X108" s="43" t="n">
        <f aca="false">IFERROR(SLOPE(C108:K108,{1,2,3,4,5,6,7,8,9})/AVERAGEIF(C108:K108,"&gt;0"),"n/a")</f>
        <v>0.33460619732839</v>
      </c>
      <c r="Y108" s="43" t="n">
        <f aca="false">IFERROR(SLOPE(H108:K108,{1,2,3,4})/AVERAGEIF(H108:K108,"&gt;0"),"n/a")</f>
        <v>0.357759175788796</v>
      </c>
      <c r="Z108" s="54" t="n">
        <f aca="false">IFERROR(H108/G108,"n/a")</f>
        <v>3.76190476190476</v>
      </c>
      <c r="AA108" s="45" t="str">
        <f aca="false">IFERROR(H108/F108,"n/a")</f>
        <v>n/a</v>
      </c>
      <c r="AB108" s="46" t="n">
        <v>0.197467267654003</v>
      </c>
      <c r="AC108" s="47" t="s">
        <v>343</v>
      </c>
      <c r="AD108" s="48" t="n">
        <v>0.037</v>
      </c>
      <c r="AE108" s="49" t="s">
        <v>344</v>
      </c>
    </row>
    <row r="109" customFormat="false" ht="16.5" hidden="false" customHeight="true" outlineLevel="0" collapsed="false">
      <c r="A109" s="94" t="s">
        <v>313</v>
      </c>
      <c r="B109" s="95" t="s">
        <v>314</v>
      </c>
      <c r="C109" s="30" t="n">
        <v>21</v>
      </c>
      <c r="D109" s="30" t="n">
        <v>30</v>
      </c>
      <c r="E109" s="30" t="n">
        <v>2</v>
      </c>
      <c r="F109" s="30" t="n">
        <v>118</v>
      </c>
      <c r="G109" s="30" t="n">
        <v>50</v>
      </c>
      <c r="H109" s="31" t="n">
        <v>49</v>
      </c>
      <c r="I109" s="31" t="n">
        <v>416</v>
      </c>
      <c r="J109" s="31" t="n">
        <v>498</v>
      </c>
      <c r="K109" s="31" t="n">
        <v>784</v>
      </c>
      <c r="L109" s="32" t="n">
        <v>390</v>
      </c>
      <c r="M109" s="33" t="n">
        <f aca="false">IFERROR(AVERAGEIF(C109:G109,"&gt;0"),0)</f>
        <v>44.2</v>
      </c>
      <c r="N109" s="34" t="n">
        <f aca="false">IFERROR(AVERAGEIF(H109:K109,"&gt;0"),0)</f>
        <v>436.75</v>
      </c>
      <c r="O109" s="87" t="n">
        <f aca="false">N109-M109</f>
        <v>392.55</v>
      </c>
      <c r="P109" s="51" t="n">
        <f aca="false">IFERROR(N109/M109,"n/a")</f>
        <v>9.88122171945701</v>
      </c>
      <c r="Q109" s="69" t="n">
        <f aca="false">IFERROR(N109/$C$3,0)</f>
        <v>1.43307332096879E-006</v>
      </c>
      <c r="R109" s="69" t="n">
        <f aca="false">IFERROR(O109/$D$4,0)</f>
        <v>3.92902721345839E-006</v>
      </c>
      <c r="S109" s="78" t="n">
        <f aca="false">IFERROR((Q109+R109)/2,0)</f>
        <v>2.68105026721359E-006</v>
      </c>
      <c r="T109" s="64" t="n">
        <v>0.99999876369482</v>
      </c>
      <c r="U109" s="41" t="n">
        <f aca="false">IFERROR(POWER(K109/C109,1/8)-1,"n/a")</f>
        <v>0.572215581288041</v>
      </c>
      <c r="V109" s="41" t="n">
        <f aca="false">IFERROR(POWER(K109/H109,1/3)-1,"n/a")</f>
        <v>1.51984209978975</v>
      </c>
      <c r="W109" s="42" t="n">
        <f aca="false">IFERROR(V109-U109,"n/a")</f>
        <v>0.947626518501705</v>
      </c>
      <c r="X109" s="43" t="n">
        <f aca="false">IFERROR(SLOPE(C109:K109,{1,2,3,4,5,6,7,8,9})/AVERAGEIF(C109:K109,"&gt;0"),"n/a")</f>
        <v>0.397484756097561</v>
      </c>
      <c r="Y109" s="43" t="n">
        <f aca="false">IFERROR(SLOPE(H109:K109,{1,2,3,4})/AVERAGEIF(H109:K109,"&gt;0"),"n/a")</f>
        <v>0.523640526617058</v>
      </c>
      <c r="Z109" s="45" t="n">
        <f aca="false">IFERROR(H109/G109,"n/a")</f>
        <v>0.98</v>
      </c>
      <c r="AA109" s="45" t="n">
        <f aca="false">IFERROR(H109/F109,"n/a")</f>
        <v>0.415254237288136</v>
      </c>
      <c r="AB109" s="56" t="n">
        <v>2.56210646823125</v>
      </c>
      <c r="AC109" s="47" t="s">
        <v>80</v>
      </c>
      <c r="AD109" s="48" t="n">
        <v>0.025</v>
      </c>
      <c r="AE109" s="49" t="s">
        <v>81</v>
      </c>
    </row>
    <row r="110" customFormat="false" ht="16.5" hidden="false" customHeight="true" outlineLevel="0" collapsed="false">
      <c r="A110" s="94" t="s">
        <v>182</v>
      </c>
      <c r="B110" s="95" t="s">
        <v>183</v>
      </c>
      <c r="C110" s="50" t="s">
        <v>84</v>
      </c>
      <c r="D110" s="50" t="s">
        <v>84</v>
      </c>
      <c r="E110" s="30" t="n">
        <v>45</v>
      </c>
      <c r="F110" s="50" t="s">
        <v>84</v>
      </c>
      <c r="G110" s="30" t="n">
        <v>4</v>
      </c>
      <c r="H110" s="31" t="n">
        <v>72</v>
      </c>
      <c r="I110" s="50" t="s">
        <v>84</v>
      </c>
      <c r="J110" s="31" t="n">
        <v>18</v>
      </c>
      <c r="K110" s="31" t="n">
        <v>520</v>
      </c>
      <c r="L110" s="50" t="s">
        <v>84</v>
      </c>
      <c r="M110" s="33" t="n">
        <f aca="false">IFERROR(AVERAGEIF(C110:G110,"&gt;0"),0)</f>
        <v>24.5</v>
      </c>
      <c r="N110" s="34" t="n">
        <f aca="false">IFERROR(AVERAGEIF(H110:K110,"&gt;0"),0)</f>
        <v>203.333333333333</v>
      </c>
      <c r="O110" s="87" t="n">
        <f aca="false">N110-M110</f>
        <v>178.833333333333</v>
      </c>
      <c r="P110" s="51" t="n">
        <f aca="false">IFERROR(N110/M110,"n/a")</f>
        <v>8.29931972789116</v>
      </c>
      <c r="Q110" s="69" t="n">
        <f aca="false">IFERROR(N110/$C$3,0)</f>
        <v>6.67181626247634E-007</v>
      </c>
      <c r="R110" s="69" t="n">
        <f aca="false">IFERROR(O110/$D$4,0)</f>
        <v>1.78994021994687E-006</v>
      </c>
      <c r="S110" s="78" t="n">
        <f aca="false">IFERROR((Q110+R110)/2,0)</f>
        <v>1.22856092309725E-006</v>
      </c>
      <c r="T110" s="64" t="n">
        <v>1</v>
      </c>
      <c r="U110" s="41" t="str">
        <f aca="false">IFERROR(POWER(K110/C110,1/8)-1,"n/a")</f>
        <v>n/a</v>
      </c>
      <c r="V110" s="41" t="n">
        <f aca="false">IFERROR(POWER(K110/H110,1/3)-1,"n/a")</f>
        <v>0.932963332549666</v>
      </c>
      <c r="W110" s="42" t="str">
        <f aca="false">IFERROR(V110-U110,"n/a")</f>
        <v>n/a</v>
      </c>
      <c r="X110" s="43" t="n">
        <f aca="false">IFERROR(SLOPE(C110:K110,{1,2,3,4,5,6,7,8,9})/AVERAGEIF(C110:K110,"&gt;0"),"n/a")</f>
        <v>0.440992465990469</v>
      </c>
      <c r="Y110" s="43" t="n">
        <f aca="false">IFERROR(SLOPE(H110:K110,{1,2,3,4})/AVERAGEIF(H110:K110,"&gt;0"),"n/a")</f>
        <v>0.610538641686183</v>
      </c>
      <c r="Z110" s="54" t="n">
        <f aca="false">IFERROR(H110/G110,"n/a")</f>
        <v>18</v>
      </c>
      <c r="AA110" s="45" t="str">
        <f aca="false">IFERROR(H110/F110,"n/a")</f>
        <v>n/a</v>
      </c>
      <c r="AB110" s="56" t="n">
        <v>1.02786885245902</v>
      </c>
      <c r="AC110" s="47" t="s">
        <v>80</v>
      </c>
      <c r="AD110" s="48" t="n">
        <v>0.025</v>
      </c>
      <c r="AE110" s="49" t="s">
        <v>81</v>
      </c>
    </row>
    <row r="112" customFormat="false" ht="21.75" hidden="false" customHeight="true" outlineLevel="0" collapsed="false">
      <c r="A112" s="97" t="s">
        <v>349</v>
      </c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</row>
    <row r="113" customFormat="false" ht="15" hidden="false" customHeight="true" outlineLevel="0" collapsed="false">
      <c r="A113" s="93" t="s">
        <v>266</v>
      </c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</row>
    <row r="114" customFormat="false" ht="16.5" hidden="false" customHeight="true" outlineLevel="0" collapsed="false">
      <c r="A114" s="94" t="s">
        <v>267</v>
      </c>
      <c r="B114" s="95" t="s">
        <v>268</v>
      </c>
      <c r="C114" s="50" t="s">
        <v>84</v>
      </c>
      <c r="D114" s="50" t="s">
        <v>84</v>
      </c>
      <c r="E114" s="50" t="s">
        <v>84</v>
      </c>
      <c r="F114" s="50" t="s">
        <v>84</v>
      </c>
      <c r="G114" s="50" t="s">
        <v>84</v>
      </c>
      <c r="H114" s="50" t="s">
        <v>84</v>
      </c>
      <c r="I114" s="50" t="s">
        <v>84</v>
      </c>
      <c r="J114" s="50" t="s">
        <v>84</v>
      </c>
      <c r="K114" s="50" t="s">
        <v>84</v>
      </c>
      <c r="L114" s="50" t="s">
        <v>84</v>
      </c>
      <c r="M114" s="33" t="n">
        <f aca="false">IFERROR(AVERAGEIF(C114:G114,"&gt;0"),0)</f>
        <v>0</v>
      </c>
      <c r="N114" s="34" t="n">
        <f aca="false">IFERROR(AVERAGEIF(H114:K114,"&gt;0"),0)</f>
        <v>0</v>
      </c>
      <c r="O114" s="87" t="n">
        <f aca="false">N114-M114</f>
        <v>0</v>
      </c>
      <c r="P114" s="77" t="str">
        <f aca="false">IFERROR(N114/M114,"n/a")</f>
        <v>n/a</v>
      </c>
      <c r="Q114" s="69" t="n">
        <f aca="false">IFERROR(N114/$C$3,0)</f>
        <v>0</v>
      </c>
      <c r="R114" s="69" t="n">
        <f aca="false">IFERROR(O114/$D$4,0)</f>
        <v>0</v>
      </c>
      <c r="S114" s="78" t="n">
        <f aca="false">IFERROR((Q114+R114)/2,0)</f>
        <v>0</v>
      </c>
      <c r="T114" s="79"/>
      <c r="U114" s="70" t="str">
        <f aca="false">IFERROR(POWER(K114/C114,1/8)-1,"n/a")</f>
        <v>n/a</v>
      </c>
      <c r="V114" s="70" t="str">
        <f aca="false">IFERROR(POWER(K114/H114,1/3)-1,"n/a")</f>
        <v>n/a</v>
      </c>
      <c r="W114" s="90" t="str">
        <f aca="false">IFERROR(V114-U114,"n/a")</f>
        <v>n/a</v>
      </c>
      <c r="X114" s="88" t="str">
        <f aca="false">IFERROR(SLOPE(C114:K114,{1,2,3,4,5,6,7,8,9})/AVERAGEIF(C114:K114,"&gt;0"),"n/a")</f>
        <v>n/a</v>
      </c>
      <c r="Y114" s="88" t="str">
        <f aca="false">IFERROR(SLOPE(H114:K114,{1,2,3,4})/AVERAGEIF(H114:K114,"&gt;0"),"n/a")</f>
        <v>n/a</v>
      </c>
      <c r="Z114" s="45" t="str">
        <f aca="false">IFERROR(H114/G114,"n/a")</f>
        <v>n/a</v>
      </c>
      <c r="AA114" s="45" t="str">
        <f aca="false">IFERROR(H114/F114,"n/a")</f>
        <v>n/a</v>
      </c>
      <c r="AB114" s="89" t="s">
        <v>147</v>
      </c>
      <c r="AC114" s="47" t="s">
        <v>164</v>
      </c>
      <c r="AD114" s="48" t="n">
        <v>0.1</v>
      </c>
      <c r="AE114" s="66" t="s">
        <v>165</v>
      </c>
    </row>
    <row r="115" customFormat="false" ht="16.5" hidden="false" customHeight="true" outlineLevel="0" collapsed="false">
      <c r="A115" s="94" t="s">
        <v>273</v>
      </c>
      <c r="B115" s="95" t="s">
        <v>274</v>
      </c>
      <c r="C115" s="50" t="s">
        <v>84</v>
      </c>
      <c r="D115" s="50" t="s">
        <v>84</v>
      </c>
      <c r="E115" s="50" t="s">
        <v>84</v>
      </c>
      <c r="F115" s="50" t="s">
        <v>84</v>
      </c>
      <c r="G115" s="50" t="s">
        <v>84</v>
      </c>
      <c r="H115" s="50" t="s">
        <v>84</v>
      </c>
      <c r="I115" s="50" t="s">
        <v>84</v>
      </c>
      <c r="J115" s="50" t="s">
        <v>84</v>
      </c>
      <c r="K115" s="50" t="s">
        <v>84</v>
      </c>
      <c r="L115" s="50" t="s">
        <v>84</v>
      </c>
      <c r="M115" s="33" t="n">
        <f aca="false">IFERROR(AVERAGEIF(C115:G115,"&gt;0"),0)</f>
        <v>0</v>
      </c>
      <c r="N115" s="34" t="n">
        <f aca="false">IFERROR(AVERAGEIF(H115:K115,"&gt;0"),0)</f>
        <v>0</v>
      </c>
      <c r="O115" s="87" t="n">
        <f aca="false">N115-M115</f>
        <v>0</v>
      </c>
      <c r="P115" s="77" t="str">
        <f aca="false">IFERROR(N115/M115,"n/a")</f>
        <v>n/a</v>
      </c>
      <c r="Q115" s="69" t="n">
        <f aca="false">IFERROR(N115/$C$3,0)</f>
        <v>0</v>
      </c>
      <c r="R115" s="69" t="n">
        <f aca="false">IFERROR(O115/$D$4,0)</f>
        <v>0</v>
      </c>
      <c r="S115" s="78" t="n">
        <f aca="false">IFERROR((Q115+R115)/2,0)</f>
        <v>0</v>
      </c>
      <c r="T115" s="79"/>
      <c r="U115" s="70" t="str">
        <f aca="false">IFERROR(POWER(K115/C115,1/8)-1,"n/a")</f>
        <v>n/a</v>
      </c>
      <c r="V115" s="70" t="str">
        <f aca="false">IFERROR(POWER(K115/H115,1/3)-1,"n/a")</f>
        <v>n/a</v>
      </c>
      <c r="W115" s="90" t="str">
        <f aca="false">IFERROR(V115-U115,"n/a")</f>
        <v>n/a</v>
      </c>
      <c r="X115" s="88" t="str">
        <f aca="false">IFERROR(SLOPE(C115:K115,{1,2,3,4,5,6,7,8,9})/AVERAGEIF(C115:K115,"&gt;0"),"n/a")</f>
        <v>n/a</v>
      </c>
      <c r="Y115" s="88" t="str">
        <f aca="false">IFERROR(SLOPE(H115:K115,{1,2,3,4})/AVERAGEIF(H115:K115,"&gt;0"),"n/a")</f>
        <v>n/a</v>
      </c>
      <c r="Z115" s="45" t="str">
        <f aca="false">IFERROR(H115/G115,"n/a")</f>
        <v>n/a</v>
      </c>
      <c r="AA115" s="45" t="str">
        <f aca="false">IFERROR(H115/F115,"n/a")</f>
        <v>n/a</v>
      </c>
      <c r="AB115" s="89" t="s">
        <v>147</v>
      </c>
      <c r="AC115" s="47" t="s">
        <v>121</v>
      </c>
      <c r="AD115" s="48" t="n">
        <v>0.05</v>
      </c>
      <c r="AE115" s="49" t="s">
        <v>122</v>
      </c>
    </row>
    <row r="116" customFormat="false" ht="16.5" hidden="false" customHeight="true" outlineLevel="0" collapsed="false">
      <c r="A116" s="94" t="s">
        <v>287</v>
      </c>
      <c r="B116" s="95" t="s">
        <v>288</v>
      </c>
      <c r="C116" s="50" t="s">
        <v>84</v>
      </c>
      <c r="D116" s="50" t="s">
        <v>84</v>
      </c>
      <c r="E116" s="50" t="s">
        <v>84</v>
      </c>
      <c r="F116" s="50" t="s">
        <v>84</v>
      </c>
      <c r="G116" s="50" t="s">
        <v>84</v>
      </c>
      <c r="H116" s="50" t="s">
        <v>84</v>
      </c>
      <c r="I116" s="50" t="s">
        <v>84</v>
      </c>
      <c r="J116" s="50" t="s">
        <v>84</v>
      </c>
      <c r="K116" s="50" t="s">
        <v>84</v>
      </c>
      <c r="L116" s="50" t="s">
        <v>84</v>
      </c>
      <c r="M116" s="33" t="n">
        <f aca="false">IFERROR(AVERAGEIF(C116:G116,"&gt;0"),0)</f>
        <v>0</v>
      </c>
      <c r="N116" s="34" t="n">
        <f aca="false">IFERROR(AVERAGEIF(H116:K116,"&gt;0"),0)</f>
        <v>0</v>
      </c>
      <c r="O116" s="87" t="n">
        <f aca="false">N116-M116</f>
        <v>0</v>
      </c>
      <c r="P116" s="77" t="str">
        <f aca="false">IFERROR(N116/M116,"n/a")</f>
        <v>n/a</v>
      </c>
      <c r="Q116" s="69" t="n">
        <f aca="false">IFERROR(N116/$C$3,0)</f>
        <v>0</v>
      </c>
      <c r="R116" s="69" t="n">
        <f aca="false">IFERROR(O116/$D$4,0)</f>
        <v>0</v>
      </c>
      <c r="S116" s="78" t="n">
        <f aca="false">IFERROR((Q116+R116)/2,0)</f>
        <v>0</v>
      </c>
      <c r="T116" s="79"/>
      <c r="U116" s="70" t="str">
        <f aca="false">IFERROR(POWER(K116/C116,1/8)-1,"n/a")</f>
        <v>n/a</v>
      </c>
      <c r="V116" s="70" t="str">
        <f aca="false">IFERROR(POWER(K116/H116,1/3)-1,"n/a")</f>
        <v>n/a</v>
      </c>
      <c r="W116" s="90" t="str">
        <f aca="false">IFERROR(V116-U116,"n/a")</f>
        <v>n/a</v>
      </c>
      <c r="X116" s="88" t="str">
        <f aca="false">IFERROR(SLOPE(C116:K116,{1,2,3,4,5,6,7,8,9})/AVERAGEIF(C116:K116,"&gt;0"),"n/a")</f>
        <v>n/a</v>
      </c>
      <c r="Y116" s="88" t="str">
        <f aca="false">IFERROR(SLOPE(H116:K116,{1,2,3,4})/AVERAGEIF(H116:K116,"&gt;0"),"n/a")</f>
        <v>n/a</v>
      </c>
      <c r="Z116" s="45" t="str">
        <f aca="false">IFERROR(H116/G116,"n/a")</f>
        <v>n/a</v>
      </c>
      <c r="AA116" s="45" t="str">
        <f aca="false">IFERROR(H116/F116,"n/a")</f>
        <v>n/a</v>
      </c>
      <c r="AB116" s="89" t="s">
        <v>147</v>
      </c>
      <c r="AC116" s="47" t="s">
        <v>350</v>
      </c>
      <c r="AD116" s="65" t="n">
        <v>0.37</v>
      </c>
      <c r="AE116" s="66" t="s">
        <v>351</v>
      </c>
    </row>
    <row r="117" customFormat="false" ht="16.5" hidden="false" customHeight="true" outlineLevel="0" collapsed="false">
      <c r="A117" s="94" t="s">
        <v>289</v>
      </c>
      <c r="B117" s="95" t="s">
        <v>290</v>
      </c>
      <c r="C117" s="50" t="s">
        <v>84</v>
      </c>
      <c r="D117" s="50" t="s">
        <v>84</v>
      </c>
      <c r="E117" s="50" t="s">
        <v>84</v>
      </c>
      <c r="F117" s="50" t="s">
        <v>84</v>
      </c>
      <c r="G117" s="50" t="s">
        <v>84</v>
      </c>
      <c r="H117" s="50" t="s">
        <v>84</v>
      </c>
      <c r="I117" s="50" t="s">
        <v>84</v>
      </c>
      <c r="J117" s="50" t="s">
        <v>84</v>
      </c>
      <c r="K117" s="50" t="s">
        <v>84</v>
      </c>
      <c r="L117" s="50" t="s">
        <v>84</v>
      </c>
      <c r="M117" s="33" t="n">
        <f aca="false">IFERROR(AVERAGEIF(C117:G117,"&gt;0"),0)</f>
        <v>0</v>
      </c>
      <c r="N117" s="34" t="n">
        <f aca="false">IFERROR(AVERAGEIF(H117:K117,"&gt;0"),0)</f>
        <v>0</v>
      </c>
      <c r="O117" s="87" t="n">
        <f aca="false">N117-M117</f>
        <v>0</v>
      </c>
      <c r="P117" s="77" t="str">
        <f aca="false">IFERROR(N117/M117,"n/a")</f>
        <v>n/a</v>
      </c>
      <c r="Q117" s="69" t="n">
        <f aca="false">IFERROR(N117/$C$3,0)</f>
        <v>0</v>
      </c>
      <c r="R117" s="69" t="n">
        <f aca="false">IFERROR(O117/$D$4,0)</f>
        <v>0</v>
      </c>
      <c r="S117" s="78" t="n">
        <f aca="false">IFERROR((Q117+R117)/2,0)</f>
        <v>0</v>
      </c>
      <c r="T117" s="79"/>
      <c r="U117" s="70" t="str">
        <f aca="false">IFERROR(POWER(K117/C117,1/8)-1,"n/a")</f>
        <v>n/a</v>
      </c>
      <c r="V117" s="70" t="str">
        <f aca="false">IFERROR(POWER(K117/H117,1/3)-1,"n/a")</f>
        <v>n/a</v>
      </c>
      <c r="W117" s="90" t="str">
        <f aca="false">IFERROR(V117-U117,"n/a")</f>
        <v>n/a</v>
      </c>
      <c r="X117" s="88" t="str">
        <f aca="false">IFERROR(SLOPE(C117:K117,{1,2,3,4,5,6,7,8,9})/AVERAGEIF(C117:K117,"&gt;0"),"n/a")</f>
        <v>n/a</v>
      </c>
      <c r="Y117" s="88" t="str">
        <f aca="false">IFERROR(SLOPE(H117:K117,{1,2,3,4})/AVERAGEIF(H117:K117,"&gt;0"),"n/a")</f>
        <v>n/a</v>
      </c>
      <c r="Z117" s="45" t="str">
        <f aca="false">IFERROR(H117/G117,"n/a")</f>
        <v>n/a</v>
      </c>
      <c r="AA117" s="45" t="str">
        <f aca="false">IFERROR(H117/F117,"n/a")</f>
        <v>n/a</v>
      </c>
      <c r="AB117" s="89" t="s">
        <v>147</v>
      </c>
      <c r="AC117" s="47" t="s">
        <v>80</v>
      </c>
      <c r="AD117" s="48" t="n">
        <v>0.025</v>
      </c>
      <c r="AE117" s="49" t="s">
        <v>81</v>
      </c>
    </row>
    <row r="118" customFormat="false" ht="16.5" hidden="false" customHeight="true" outlineLevel="0" collapsed="false">
      <c r="A118" s="94" t="s">
        <v>295</v>
      </c>
      <c r="B118" s="95" t="s">
        <v>296</v>
      </c>
      <c r="C118" s="50" t="s">
        <v>84</v>
      </c>
      <c r="D118" s="50" t="s">
        <v>84</v>
      </c>
      <c r="E118" s="50" t="s">
        <v>84</v>
      </c>
      <c r="F118" s="50" t="s">
        <v>84</v>
      </c>
      <c r="G118" s="50" t="s">
        <v>84</v>
      </c>
      <c r="H118" s="50" t="s">
        <v>84</v>
      </c>
      <c r="I118" s="50" t="s">
        <v>84</v>
      </c>
      <c r="J118" s="50" t="s">
        <v>84</v>
      </c>
      <c r="K118" s="50" t="s">
        <v>84</v>
      </c>
      <c r="L118" s="50" t="s">
        <v>84</v>
      </c>
      <c r="M118" s="33" t="n">
        <f aca="false">IFERROR(AVERAGEIF(C118:G118,"&gt;0"),0)</f>
        <v>0</v>
      </c>
      <c r="N118" s="34" t="n">
        <f aca="false">IFERROR(AVERAGEIF(H118:K118,"&gt;0"),0)</f>
        <v>0</v>
      </c>
      <c r="O118" s="87" t="n">
        <f aca="false">N118-M118</f>
        <v>0</v>
      </c>
      <c r="P118" s="77" t="str">
        <f aca="false">IFERROR(N118/M118,"n/a")</f>
        <v>n/a</v>
      </c>
      <c r="Q118" s="69" t="n">
        <f aca="false">IFERROR(N118/$C$3,0)</f>
        <v>0</v>
      </c>
      <c r="R118" s="69" t="n">
        <f aca="false">IFERROR(O118/$D$4,0)</f>
        <v>0</v>
      </c>
      <c r="S118" s="78" t="n">
        <f aca="false">IFERROR((Q118+R118)/2,0)</f>
        <v>0</v>
      </c>
      <c r="T118" s="79"/>
      <c r="U118" s="70" t="str">
        <f aca="false">IFERROR(POWER(K118/C118,1/8)-1,"n/a")</f>
        <v>n/a</v>
      </c>
      <c r="V118" s="70" t="str">
        <f aca="false">IFERROR(POWER(K118/H118,1/3)-1,"n/a")</f>
        <v>n/a</v>
      </c>
      <c r="W118" s="90" t="str">
        <f aca="false">IFERROR(V118-U118,"n/a")</f>
        <v>n/a</v>
      </c>
      <c r="X118" s="88" t="str">
        <f aca="false">IFERROR(SLOPE(C118:K118,{1,2,3,4,5,6,7,8,9})/AVERAGEIF(C118:K118,"&gt;0"),"n/a")</f>
        <v>n/a</v>
      </c>
      <c r="Y118" s="88" t="str">
        <f aca="false">IFERROR(SLOPE(H118:K118,{1,2,3,4})/AVERAGEIF(H118:K118,"&gt;0"),"n/a")</f>
        <v>n/a</v>
      </c>
      <c r="Z118" s="45" t="str">
        <f aca="false">IFERROR(H118/G118,"n/a")</f>
        <v>n/a</v>
      </c>
      <c r="AA118" s="45" t="str">
        <f aca="false">IFERROR(H118/F118,"n/a")</f>
        <v>n/a</v>
      </c>
      <c r="AB118" s="89" t="s">
        <v>147</v>
      </c>
      <c r="AC118" s="47" t="s">
        <v>333</v>
      </c>
      <c r="AD118" s="48" t="n">
        <v>0.02</v>
      </c>
      <c r="AE118" s="49" t="s">
        <v>334</v>
      </c>
    </row>
    <row r="119" customFormat="false" ht="16.5" hidden="false" customHeight="true" outlineLevel="0" collapsed="false">
      <c r="A119" s="94" t="s">
        <v>162</v>
      </c>
      <c r="B119" s="95" t="s">
        <v>163</v>
      </c>
      <c r="C119" s="50" t="s">
        <v>84</v>
      </c>
      <c r="D119" s="50" t="s">
        <v>84</v>
      </c>
      <c r="E119" s="50" t="s">
        <v>84</v>
      </c>
      <c r="F119" s="30" t="n">
        <v>180</v>
      </c>
      <c r="G119" s="50" t="s">
        <v>84</v>
      </c>
      <c r="H119" s="50" t="s">
        <v>84</v>
      </c>
      <c r="I119" s="50" t="s">
        <v>84</v>
      </c>
      <c r="J119" s="50" t="s">
        <v>84</v>
      </c>
      <c r="K119" s="50" t="s">
        <v>84</v>
      </c>
      <c r="L119" s="50" t="s">
        <v>84</v>
      </c>
      <c r="M119" s="33" t="n">
        <f aca="false">IFERROR(AVERAGEIF(C119:G119,"&gt;0"),0)</f>
        <v>180</v>
      </c>
      <c r="N119" s="34" t="n">
        <f aca="false">IFERROR(AVERAGEIF(H119:K119,"&gt;0"),0)</f>
        <v>0</v>
      </c>
      <c r="O119" s="76" t="n">
        <f aca="false">N119-M119</f>
        <v>-180</v>
      </c>
      <c r="P119" s="77" t="n">
        <f aca="false">IFERROR(N119/M119,"n/a")</f>
        <v>0</v>
      </c>
      <c r="Q119" s="69" t="n">
        <f aca="false">IFERROR(N119/$C$3,0)</f>
        <v>0</v>
      </c>
      <c r="R119" s="69" t="n">
        <f aca="false">IFERROR(O119/$D$4,0)</f>
        <v>-1.80161736956441E-006</v>
      </c>
      <c r="S119" s="78" t="n">
        <f aca="false">IFERROR((Q119+R119)/2,0)</f>
        <v>-9.00808684782207E-007</v>
      </c>
      <c r="T119" s="79"/>
      <c r="U119" s="70" t="str">
        <f aca="false">IFERROR(POWER(K119/C119,1/8)-1,"n/a")</f>
        <v>n/a</v>
      </c>
      <c r="V119" s="70" t="str">
        <f aca="false">IFERROR(POWER(K119/H119,1/3)-1,"n/a")</f>
        <v>n/a</v>
      </c>
      <c r="W119" s="90" t="str">
        <f aca="false">IFERROR(V119-U119,"n/a")</f>
        <v>n/a</v>
      </c>
      <c r="X119" s="88" t="str">
        <f aca="false">IFERROR(SLOPE(C119:K119,{1,2,3,4,5,6,7,8,9})/AVERAGEIF(C119:K119,"&gt;0"),"n/a")</f>
        <v>n/a</v>
      </c>
      <c r="Y119" s="88" t="str">
        <f aca="false">IFERROR(SLOPE(H119:K119,{1,2,3,4})/AVERAGEIF(H119:K119,"&gt;0"),"n/a")</f>
        <v>n/a</v>
      </c>
      <c r="Z119" s="45" t="str">
        <f aca="false">IFERROR(H119/G119,"n/a")</f>
        <v>n/a</v>
      </c>
      <c r="AA119" s="45" t="str">
        <f aca="false">IFERROR(H119/F119,"n/a")</f>
        <v>n/a</v>
      </c>
      <c r="AB119" s="89" t="s">
        <v>147</v>
      </c>
      <c r="AC119" s="47" t="s">
        <v>333</v>
      </c>
      <c r="AD119" s="48" t="n">
        <v>0.02</v>
      </c>
      <c r="AE119" s="49" t="s">
        <v>334</v>
      </c>
    </row>
    <row r="120" customFormat="false" ht="16.5" hidden="false" customHeight="true" outlineLevel="0" collapsed="false">
      <c r="A120" s="94" t="s">
        <v>297</v>
      </c>
      <c r="B120" s="95" t="s">
        <v>298</v>
      </c>
      <c r="C120" s="50" t="s">
        <v>84</v>
      </c>
      <c r="D120" s="50" t="s">
        <v>84</v>
      </c>
      <c r="E120" s="50" t="s">
        <v>84</v>
      </c>
      <c r="F120" s="50" t="s">
        <v>84</v>
      </c>
      <c r="G120" s="50" t="s">
        <v>84</v>
      </c>
      <c r="H120" s="50" t="s">
        <v>84</v>
      </c>
      <c r="I120" s="50" t="s">
        <v>84</v>
      </c>
      <c r="J120" s="50" t="s">
        <v>84</v>
      </c>
      <c r="K120" s="50" t="s">
        <v>84</v>
      </c>
      <c r="L120" s="50" t="s">
        <v>84</v>
      </c>
      <c r="M120" s="33" t="n">
        <f aca="false">IFERROR(AVERAGEIF(C120:G120,"&gt;0"),0)</f>
        <v>0</v>
      </c>
      <c r="N120" s="34" t="n">
        <f aca="false">IFERROR(AVERAGEIF(H120:K120,"&gt;0"),0)</f>
        <v>0</v>
      </c>
      <c r="O120" s="87" t="n">
        <f aca="false">N120-M120</f>
        <v>0</v>
      </c>
      <c r="P120" s="77" t="str">
        <f aca="false">IFERROR(N120/M120,"n/a")</f>
        <v>n/a</v>
      </c>
      <c r="Q120" s="69" t="n">
        <f aca="false">IFERROR(N120/$C$3,0)</f>
        <v>0</v>
      </c>
      <c r="R120" s="69" t="n">
        <f aca="false">IFERROR(O120/$D$4,0)</f>
        <v>0</v>
      </c>
      <c r="S120" s="78" t="n">
        <f aca="false">IFERROR((Q120+R120)/2,0)</f>
        <v>0</v>
      </c>
      <c r="T120" s="79"/>
      <c r="U120" s="70" t="str">
        <f aca="false">IFERROR(POWER(K120/C120,1/8)-1,"n/a")</f>
        <v>n/a</v>
      </c>
      <c r="V120" s="70" t="str">
        <f aca="false">IFERROR(POWER(K120/H120,1/3)-1,"n/a")</f>
        <v>n/a</v>
      </c>
      <c r="W120" s="90" t="str">
        <f aca="false">IFERROR(V120-U120,"n/a")</f>
        <v>n/a</v>
      </c>
      <c r="X120" s="88" t="str">
        <f aca="false">IFERROR(SLOPE(C120:K120,{1,2,3,4,5,6,7,8,9})/AVERAGEIF(C120:K120,"&gt;0"),"n/a")</f>
        <v>n/a</v>
      </c>
      <c r="Y120" s="88" t="str">
        <f aca="false">IFERROR(SLOPE(H120:K120,{1,2,3,4})/AVERAGEIF(H120:K120,"&gt;0"),"n/a")</f>
        <v>n/a</v>
      </c>
      <c r="Z120" s="45" t="str">
        <f aca="false">IFERROR(H120/G120,"n/a")</f>
        <v>n/a</v>
      </c>
      <c r="AA120" s="45" t="str">
        <f aca="false">IFERROR(H120/F120,"n/a")</f>
        <v>n/a</v>
      </c>
      <c r="AB120" s="89" t="s">
        <v>147</v>
      </c>
      <c r="AC120" s="85" t="s">
        <v>244</v>
      </c>
      <c r="AD120" s="86" t="s">
        <v>140</v>
      </c>
      <c r="AE120" s="86" t="s">
        <v>84</v>
      </c>
    </row>
    <row r="121" customFormat="false" ht="16.5" hidden="false" customHeight="true" outlineLevel="0" collapsed="false">
      <c r="A121" s="94" t="s">
        <v>311</v>
      </c>
      <c r="B121" s="95" t="s">
        <v>312</v>
      </c>
      <c r="C121" s="50" t="s">
        <v>84</v>
      </c>
      <c r="D121" s="50" t="s">
        <v>84</v>
      </c>
      <c r="E121" s="50" t="s">
        <v>84</v>
      </c>
      <c r="F121" s="50" t="s">
        <v>84</v>
      </c>
      <c r="G121" s="50" t="s">
        <v>84</v>
      </c>
      <c r="H121" s="50" t="s">
        <v>84</v>
      </c>
      <c r="I121" s="50" t="s">
        <v>84</v>
      </c>
      <c r="J121" s="50" t="s">
        <v>84</v>
      </c>
      <c r="K121" s="50" t="s">
        <v>84</v>
      </c>
      <c r="L121" s="50" t="s">
        <v>84</v>
      </c>
      <c r="M121" s="33" t="n">
        <f aca="false">IFERROR(AVERAGEIF(C121:G121,"&gt;0"),0)</f>
        <v>0</v>
      </c>
      <c r="N121" s="34" t="n">
        <f aca="false">IFERROR(AVERAGEIF(H121:K121,"&gt;0"),0)</f>
        <v>0</v>
      </c>
      <c r="O121" s="87" t="n">
        <f aca="false">N121-M121</f>
        <v>0</v>
      </c>
      <c r="P121" s="77" t="str">
        <f aca="false">IFERROR(N121/M121,"n/a")</f>
        <v>n/a</v>
      </c>
      <c r="Q121" s="69" t="n">
        <f aca="false">IFERROR(N121/$C$3,0)</f>
        <v>0</v>
      </c>
      <c r="R121" s="69" t="n">
        <f aca="false">IFERROR(O121/$D$4,0)</f>
        <v>0</v>
      </c>
      <c r="S121" s="78" t="n">
        <f aca="false">IFERROR((Q121+R121)/2,0)</f>
        <v>0</v>
      </c>
      <c r="T121" s="79"/>
      <c r="U121" s="70" t="str">
        <f aca="false">IFERROR(POWER(K121/C121,1/8)-1,"n/a")</f>
        <v>n/a</v>
      </c>
      <c r="V121" s="70" t="str">
        <f aca="false">IFERROR(POWER(K121/H121,1/3)-1,"n/a")</f>
        <v>n/a</v>
      </c>
      <c r="W121" s="90" t="str">
        <f aca="false">IFERROR(V121-U121,"n/a")</f>
        <v>n/a</v>
      </c>
      <c r="X121" s="88" t="str">
        <f aca="false">IFERROR(SLOPE(C121:K121,{1,2,3,4,5,6,7,8,9})/AVERAGEIF(C121:K121,"&gt;0"),"n/a")</f>
        <v>n/a</v>
      </c>
      <c r="Y121" s="88" t="str">
        <f aca="false">IFERROR(SLOPE(H121:K121,{1,2,3,4})/AVERAGEIF(H121:K121,"&gt;0"),"n/a")</f>
        <v>n/a</v>
      </c>
      <c r="Z121" s="45" t="str">
        <f aca="false">IFERROR(H121/G121,"n/a")</f>
        <v>n/a</v>
      </c>
      <c r="AA121" s="45" t="str">
        <f aca="false">IFERROR(H121/F121,"n/a")</f>
        <v>n/a</v>
      </c>
      <c r="AB121" s="89" t="s">
        <v>147</v>
      </c>
      <c r="AC121" s="47" t="s">
        <v>80</v>
      </c>
      <c r="AD121" s="48" t="n">
        <v>0.025</v>
      </c>
      <c r="AE121" s="49" t="s">
        <v>81</v>
      </c>
    </row>
    <row r="122" customFormat="false" ht="16.5" hidden="false" customHeight="true" outlineLevel="0" collapsed="false">
      <c r="A122" s="94" t="s">
        <v>317</v>
      </c>
      <c r="B122" s="95" t="s">
        <v>318</v>
      </c>
      <c r="C122" s="50" t="s">
        <v>84</v>
      </c>
      <c r="D122" s="50" t="s">
        <v>84</v>
      </c>
      <c r="E122" s="50" t="s">
        <v>84</v>
      </c>
      <c r="F122" s="50" t="s">
        <v>84</v>
      </c>
      <c r="G122" s="50" t="s">
        <v>84</v>
      </c>
      <c r="H122" s="50" t="s">
        <v>84</v>
      </c>
      <c r="I122" s="50" t="s">
        <v>84</v>
      </c>
      <c r="J122" s="50" t="s">
        <v>84</v>
      </c>
      <c r="K122" s="50" t="s">
        <v>84</v>
      </c>
      <c r="L122" s="50" t="s">
        <v>84</v>
      </c>
      <c r="M122" s="33" t="n">
        <f aca="false">IFERROR(AVERAGEIF(C122:G122,"&gt;0"),0)</f>
        <v>0</v>
      </c>
      <c r="N122" s="34" t="n">
        <f aca="false">IFERROR(AVERAGEIF(H122:K122,"&gt;0"),0)</f>
        <v>0</v>
      </c>
      <c r="O122" s="87" t="n">
        <f aca="false">N122-M122</f>
        <v>0</v>
      </c>
      <c r="P122" s="77" t="str">
        <f aca="false">IFERROR(N122/M122,"n/a")</f>
        <v>n/a</v>
      </c>
      <c r="Q122" s="69" t="n">
        <f aca="false">IFERROR(N122/$C$3,0)</f>
        <v>0</v>
      </c>
      <c r="R122" s="69" t="n">
        <f aca="false">IFERROR(O122/$D$4,0)</f>
        <v>0</v>
      </c>
      <c r="S122" s="78" t="n">
        <f aca="false">IFERROR((Q122+R122)/2,0)</f>
        <v>0</v>
      </c>
      <c r="T122" s="79"/>
      <c r="U122" s="70" t="str">
        <f aca="false">IFERROR(POWER(K122/C122,1/8)-1,"n/a")</f>
        <v>n/a</v>
      </c>
      <c r="V122" s="70" t="str">
        <f aca="false">IFERROR(POWER(K122/H122,1/3)-1,"n/a")</f>
        <v>n/a</v>
      </c>
      <c r="W122" s="90" t="str">
        <f aca="false">IFERROR(V122-U122,"n/a")</f>
        <v>n/a</v>
      </c>
      <c r="X122" s="88" t="str">
        <f aca="false">IFERROR(SLOPE(C122:K122,{1,2,3,4,5,6,7,8,9})/AVERAGEIF(C122:K122,"&gt;0"),"n/a")</f>
        <v>n/a</v>
      </c>
      <c r="Y122" s="88" t="str">
        <f aca="false">IFERROR(SLOPE(H122:K122,{1,2,3,4})/AVERAGEIF(H122:K122,"&gt;0"),"n/a")</f>
        <v>n/a</v>
      </c>
      <c r="Z122" s="45" t="str">
        <f aca="false">IFERROR(H122/G122,"n/a")</f>
        <v>n/a</v>
      </c>
      <c r="AA122" s="45" t="str">
        <f aca="false">IFERROR(H122/F122,"n/a")</f>
        <v>n/a</v>
      </c>
      <c r="AB122" s="89" t="s">
        <v>147</v>
      </c>
      <c r="AC122" s="85" t="s">
        <v>139</v>
      </c>
      <c r="AD122" s="86" t="s">
        <v>140</v>
      </c>
      <c r="AE122" s="86" t="s">
        <v>84</v>
      </c>
    </row>
    <row r="124" customFormat="false" ht="18" hidden="false" customHeight="true" outlineLevel="0" collapsed="false">
      <c r="A124" s="98" t="s">
        <v>319</v>
      </c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</row>
  </sheetData>
  <mergeCells count="25">
    <mergeCell ref="A1:AE1"/>
    <mergeCell ref="A2:AE2"/>
    <mergeCell ref="A3:B3"/>
    <mergeCell ref="D3:AE3"/>
    <mergeCell ref="A4:C4"/>
    <mergeCell ref="E4:AE4"/>
    <mergeCell ref="C5:G5"/>
    <mergeCell ref="H5:K5"/>
    <mergeCell ref="M5:T5"/>
    <mergeCell ref="U5:W5"/>
    <mergeCell ref="X5:Y5"/>
    <mergeCell ref="Z5:AB5"/>
    <mergeCell ref="AC5:AE5"/>
    <mergeCell ref="A9:B9"/>
    <mergeCell ref="A11:AE11"/>
    <mergeCell ref="A12:AE12"/>
    <mergeCell ref="A16:AE16"/>
    <mergeCell ref="A17:AE17"/>
    <mergeCell ref="A25:AE25"/>
    <mergeCell ref="A26:AE26"/>
    <mergeCell ref="A67:AE67"/>
    <mergeCell ref="A68:AE68"/>
    <mergeCell ref="A112:AE112"/>
    <mergeCell ref="A113:AE113"/>
    <mergeCell ref="A124:AE1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2026-03-18T21:14:46Z</dcterms:created>
  <dc:creator>openpyxl</dc:creator>
  <dc:description/>
  <dc:language>en-US</dc:language>
  <cp:lastModifiedBy/>
  <dcterms:modified xsi:type="dcterms:W3CDTF">2026-03-18T21:14:47Z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